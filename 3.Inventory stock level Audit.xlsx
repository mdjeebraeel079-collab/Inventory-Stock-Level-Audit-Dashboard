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11d950f254b702/Desktop/"/>
    </mc:Choice>
  </mc:AlternateContent>
  <xr:revisionPtr revIDLastSave="5" documentId="8_{876CB7CA-2C73-40D9-B015-7DBEB78D27C5}" xr6:coauthVersionLast="47" xr6:coauthVersionMax="47" xr10:uidLastSave="{EE5C9352-FD7D-4F24-89C4-CEB189050F14}"/>
  <bookViews>
    <workbookView xWindow="-120" yWindow="-120" windowWidth="20730" windowHeight="11310" xr2:uid="{A4983CDB-7C4D-4032-A36D-2B310B16D3D8}"/>
  </bookViews>
  <sheets>
    <sheet name="Dashboard" sheetId="3" r:id="rId1"/>
    <sheet name="Row Data" sheetId="1" r:id="rId2"/>
  </sheets>
  <calcPr calcId="18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" i="1" l="1"/>
  <c r="I6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2" i="1"/>
</calcChain>
</file>

<file path=xl/sharedStrings.xml><?xml version="1.0" encoding="utf-8"?>
<sst xmlns="http://schemas.openxmlformats.org/spreadsheetml/2006/main" count="499" uniqueCount="153">
  <si>
    <t>Product_ID</t>
  </si>
  <si>
    <t>Product_Name</t>
  </si>
  <si>
    <t>Category</t>
  </si>
  <si>
    <t>Warehouse</t>
  </si>
  <si>
    <t>Current_Stock</t>
  </si>
  <si>
    <t>Reorder_Level</t>
  </si>
  <si>
    <t>Monthly_Sales</t>
  </si>
  <si>
    <t>Supplier</t>
  </si>
  <si>
    <t>Unit_Cost</t>
  </si>
  <si>
    <t>P001</t>
  </si>
  <si>
    <t>Laptop</t>
  </si>
  <si>
    <t>Electronics</t>
  </si>
  <si>
    <t>Delhi</t>
  </si>
  <si>
    <t>TechSource India</t>
  </si>
  <si>
    <t>P002</t>
  </si>
  <si>
    <t>Mobile</t>
  </si>
  <si>
    <t>Mumbai</t>
  </si>
  <si>
    <t>Apex Electronics</t>
  </si>
  <si>
    <t>P003</t>
  </si>
  <si>
    <t>Printer</t>
  </si>
  <si>
    <t>Office Supplies</t>
  </si>
  <si>
    <t>Bangalore</t>
  </si>
  <si>
    <t>Smart Office Solutions</t>
  </si>
  <si>
    <t>P004</t>
  </si>
  <si>
    <t>Chair</t>
  </si>
  <si>
    <t>Furniture</t>
  </si>
  <si>
    <t>Chennai</t>
  </si>
  <si>
    <t>Prime Furniture Suppliers</t>
  </si>
  <si>
    <t>P005</t>
  </si>
  <si>
    <t>Table</t>
  </si>
  <si>
    <t>Hyderabad</t>
  </si>
  <si>
    <t>P006</t>
  </si>
  <si>
    <t>Monitor</t>
  </si>
  <si>
    <t>P007</t>
  </si>
  <si>
    <t>Keyboard</t>
  </si>
  <si>
    <t>P008</t>
  </si>
  <si>
    <t>Mouse</t>
  </si>
  <si>
    <t>P009</t>
  </si>
  <si>
    <t>Sofa</t>
  </si>
  <si>
    <t>Elite Traders</t>
  </si>
  <si>
    <t>P010</t>
  </si>
  <si>
    <t>Projector</t>
  </si>
  <si>
    <t>P011</t>
  </si>
  <si>
    <t>P012</t>
  </si>
  <si>
    <t>P013</t>
  </si>
  <si>
    <t>Bright Office Products</t>
  </si>
  <si>
    <t>P014</t>
  </si>
  <si>
    <t>Nilkamal Distributors</t>
  </si>
  <si>
    <t>P015</t>
  </si>
  <si>
    <t>P016</t>
  </si>
  <si>
    <t>P017</t>
  </si>
  <si>
    <t>P018</t>
  </si>
  <si>
    <t>P019</t>
  </si>
  <si>
    <t>P020</t>
  </si>
  <si>
    <t>P021</t>
  </si>
  <si>
    <t>Smart Watch</t>
  </si>
  <si>
    <t>Future Retail Supplies</t>
  </si>
  <si>
    <t>P022</t>
  </si>
  <si>
    <t>Headphones</t>
  </si>
  <si>
    <t>Global Supply Chain Ltd</t>
  </si>
  <si>
    <t>P023</t>
  </si>
  <si>
    <t>Scanner</t>
  </si>
  <si>
    <t>P024</t>
  </si>
  <si>
    <t>Cupboard</t>
  </si>
  <si>
    <t>Godrej Furniture Supply</t>
  </si>
  <si>
    <t>P025</t>
  </si>
  <si>
    <t>Bookshelf</t>
  </si>
  <si>
    <t>P026</t>
  </si>
  <si>
    <t>Tablet</t>
  </si>
  <si>
    <t>P027</t>
  </si>
  <si>
    <t>Router</t>
  </si>
  <si>
    <t>P028</t>
  </si>
  <si>
    <t>Whiteboard</t>
  </si>
  <si>
    <t>P029</t>
  </si>
  <si>
    <t>Office Desk</t>
  </si>
  <si>
    <t>P030</t>
  </si>
  <si>
    <t>Filing Cabinet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</si>
  <si>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</si>
  <si>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</si>
  <si>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</si>
  <si>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</si>
  <si>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</si>
  <si>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</si>
  <si>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</si>
  <si>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</si>
  <si>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</si>
  <si>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</si>
  <si>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</si>
  <si>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</si>
  <si>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</si>
  <si>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</si>
  <si>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</si>
  <si>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</si>
  <si>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</si>
  <si>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</si>
  <si>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</si>
  <si>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</si>
  <si>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</si>
  <si>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</si>
  <si>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</si>
  <si>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</si>
  <si>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</si>
  <si>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</si>
  <si>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</si>
  <si>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</si>
  <si>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</si>
  <si>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</si>
  <si>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</si>
  <si>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</si>
  <si>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</si>
  <si>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</si>
  <si>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</si>
  <si>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</si>
  <si>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</si>
  <si>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</si>
  <si>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</si>
  <si>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</si>
  <si>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</si>
  <si>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</si>
  <si>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</si>
  <si>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</si>
  <si>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</si>
  <si>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</si>
  <si>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</si>
  <si>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</si>
  <si>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</si>
  <si>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</si>
  <si>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</si>
  <si>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</si>
  <si>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</si>
  <si>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</si>
  <si>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</si>
  <si>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</si>
  <si>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</si>
  <si>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</si>
  <si>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</si>
  <si>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</si>
  <si>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Inventory_Value</t>
  </si>
  <si>
    <t>Stock_Status</t>
  </si>
  <si>
    <t>Grand Total</t>
  </si>
  <si>
    <t>Inventory Value</t>
  </si>
  <si>
    <t>In Stock</t>
  </si>
  <si>
    <t>Low Stock</t>
  </si>
  <si>
    <t>Stock Status</t>
  </si>
  <si>
    <t>Sum of Product_ID</t>
  </si>
  <si>
    <t>Product Name</t>
  </si>
  <si>
    <t>Sum of Inventory Value</t>
  </si>
  <si>
    <t>INVENTORY STOCK LEVEL AUDIT</t>
  </si>
  <si>
    <t>Total Inventory Value</t>
  </si>
  <si>
    <t>Total Warehouse</t>
  </si>
  <si>
    <t>Low Stock Products</t>
  </si>
  <si>
    <t>Prepared By: Md Jeebraeel         MBA Student | Data Analytics Internship Project</t>
  </si>
  <si>
    <t>Total Unique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</si>
</sst>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2" fillId="4" borderId="1" xfId="1" applyNumberFormat="1" applyFont="1" applyFill="1" applyBorder="1"/>
    <xf numFmtId="164" fontId="2" fillId="5" borderId="1" xfId="1" applyNumberFormat="1" applyFont="1" applyFill="1" applyBorder="1"/>
    <xf numFmtId="164" fontId="2" fillId="6" borderId="1" xfId="1" applyNumberFormat="1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2" xfId="0" applyBorder="1"/>
    <xf numFmtId="0" fontId="0" fillId="0" borderId="7" xfId="0" applyBorder="1"/>
    <xf numFmtId="0" fontId="0" fillId="0" borderId="9" xfId="0" applyBorder="1"/>
    <xf numFmtId="0" fontId="2" fillId="6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0" fillId="0" borderId="0" xfId="0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stock level Audit Dashboard.xlsx]Dashboard!PivotTable2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Value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Dashboard!$C$11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9E5-4F12-B1E8-04B631A63E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9E5-4F12-B1E8-04B631A63E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9E5-4F12-B1E8-04B631A63E6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Dashboard!$B$12:$B$15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Dashboard!$C$12:$C$15</c:f>
              <c:numCache>
                <c:formatCode>General</c:formatCode>
                <c:ptCount val="3"/>
                <c:pt idx="0">
                  <c:v>32540400</c:v>
                </c:pt>
                <c:pt idx="1">
                  <c:v>15364100</c:v>
                </c:pt>
                <c:pt idx="2">
                  <c:v>4085000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2-48F3-8226-293EE84C2CB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stock level Audit Dashboard.xlsx]Dashboard!PivotTable3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Value by Warehouse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Dashboard!$E$12:$E$17</c:f>
              <c:strCache>
                <c:ptCount val="5"/>
                <c:pt idx="0">
                  <c:v>Delhi</c:v>
                </c:pt>
                <c:pt idx="1">
                  <c:v>Mumbai</c:v>
                </c:pt>
                <c:pt idx="2">
                  <c:v>Chennai</c:v>
                </c:pt>
                <c:pt idx="3">
                  <c:v>Hyderabad</c:v>
                </c:pt>
                <c:pt idx="4">
                  <c:v>Bangalore</c:v>
                </c:pt>
              </c:strCache>
            </c:strRef>
          </c:cat>
          <c:val>
            <c:numRef>
              <c:f>Dashboard!$F$12:$F$17</c:f>
              <c:numCache>
                <c:formatCode>General</c:formatCode>
                <c:ptCount val="5"/>
                <c:pt idx="0">
                  <c:v>16691400</c:v>
                </c:pt>
                <c:pt idx="1">
                  <c:v>14989500</c:v>
                </c:pt>
                <c:pt idx="2">
                  <c:v>9556500</c:v>
                </c:pt>
                <c:pt idx="3">
                  <c:v>7168600</c:v>
                </c:pt>
                <c:pt idx="4">
                  <c:v>3583500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5-4440-92CE-1A2F36E0C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4453744"/>
        <c:axId val="1534467664"/>
      </c:barChart>
      <c:catAx>
        <c:axId val="15344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467664"/>
        <c:crosses val="autoZero"/>
        <c:auto val="1"/>
        <c:lblAlgn val="ctr"/>
        <c:lblOffset val="100"/>
        <c:noMultiLvlLbl val="0"/>
      </c:catAx>
      <c:valAx>
        <c:axId val="153446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45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stock level Audit Dashboard.xlsx]Dashboard!PivotTable5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6.1202185792349748E-2"/>
              <c:y val="5.22088188316039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Dashboard!$I$11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CF2-4F99-8314-6CA92645D5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CF2-4F99-8314-6CA92645D55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CF2-4F99-8314-6CA92645D55F}"/>
                </c:ext>
              </c:extLst>
            </c:dLbl>
            <c:dLbl>
              <c:idx val="1"/>
              <c:layout>
                <c:manualLayout>
                  <c:x val="-6.1202185792349748E-2"/>
                  <c:y val="5.220881883160391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F2-4F99-8314-6CA92645D5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Dashboard!$H$12:$H$14</c:f>
              <c:strCache>
                <c:ptCount val="2"/>
                <c:pt idx="0">
                  <c:v>In Stock</c:v>
                </c:pt>
                <c:pt idx="1">
                  <c:v>Low Stock</c:v>
                </c:pt>
              </c:strCache>
            </c:strRef>
          </c:cat>
          <c:val>
            <c:numRef>
              <c:f>Dashboard!$I$12:$I$14</c:f>
              <c:numCache>
                <c:formatCode>General</c:formatCode>
                <c:ptCount val="2"/>
                <c:pt idx="0">
                  <c:v>75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8-4A7A-B3E6-24470453453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stock level Audit Dashboard.xlsx]Dashboard!PivotTable6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Products by Inventory Value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Dashboard!$L$11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Dashboard!$K$12:$K$22</c:f>
              <c:strCache>
                <c:ptCount val="10"/>
                <c:pt idx="0">
                  <c:v>Mobile</c:v>
                </c:pt>
                <c:pt idx="1">
                  <c:v>Laptop</c:v>
                </c:pt>
                <c:pt idx="2">
                  <c:v>Tablet</c:v>
                </c:pt>
                <c:pt idx="3">
                  <c:v>Table</c:v>
                </c:pt>
                <c:pt idx="4">
                  <c:v>Cupboard</c:v>
                </c:pt>
                <c:pt idx="5">
                  <c:v>Sofa</c:v>
                </c:pt>
                <c:pt idx="6">
                  <c:v>Chair</c:v>
                </c:pt>
                <c:pt idx="7">
                  <c:v>Monitor</c:v>
                </c:pt>
                <c:pt idx="8">
                  <c:v>Office Desk</c:v>
                </c:pt>
                <c:pt idx="9">
                  <c:v>Bookshelf</c:v>
                </c:pt>
              </c:strCache>
            </c:strRef>
          </c:cat>
          <c:val>
            <c:numRef>
              <c:f>Dashboard!$L$12:$L$22</c:f>
              <c:numCache>
                <c:formatCode>General</c:formatCode>
                <c:ptCount val="10"/>
                <c:pt idx="0">
                  <c:v>10790000</c:v>
                </c:pt>
                <c:pt idx="1">
                  <c:v>8086000</c:v>
                </c:pt>
                <c:pt idx="2">
                  <c:v>4510000</c:v>
                </c:pt>
                <c:pt idx="3">
                  <c:v>2802100</c:v>
                </c:pt>
                <c:pt idx="4">
                  <c:v>2510000</c:v>
                </c:pt>
                <c:pt idx="5">
                  <c:v>2432000</c:v>
                </c:pt>
                <c:pt idx="6">
                  <c:v>2412500</c:v>
                </c:pt>
                <c:pt idx="7">
                  <c:v>2207000</c:v>
                </c:pt>
                <c:pt idx="8">
                  <c:v>2202000</c:v>
                </c:pt>
                <c:pt idx="9">
                  <c:v>2048500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D-4066-884F-B036908A2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9913024"/>
        <c:axId val="689931744"/>
      </c:barChart>
      <c:catAx>
        <c:axId val="689913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931744"/>
        <c:crosses val="autoZero"/>
        <c:auto val="1"/>
        <c:lblAlgn val="ctr"/>
        <c:lblOffset val="100"/>
        <c:noMultiLvlLbl val="0"/>
      </c:catAx>
      <c:valAx>
        <c:axId val="68993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91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</xdr:colOff>
      <xdr:row>18</xdr:row>
      <xdr:rowOff>185737</xdr:rowOff>
    </xdr:from>
    <xdr:to>
      <xdr:col>2</xdr:col>
      <xdr:colOff>1247775</xdr:colOff>
      <xdr:row>35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2D1223-4574-5DBF-B7E2-97D32308C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4762</xdr:rowOff>
    </xdr:from>
    <xdr:to>
      <xdr:col>6</xdr:col>
      <xdr:colOff>9525</xdr:colOff>
      <xdr:row>35</xdr:row>
      <xdr:rowOff>130969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37097A-A8DD-C189-E9DB-A7B2B27CF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</xdr:colOff>
      <xdr:row>19</xdr:row>
      <xdr:rowOff>4761</xdr:rowOff>
    </xdr:from>
    <xdr:to>
      <xdr:col>9</xdr:col>
      <xdr:colOff>1</xdr:colOff>
      <xdr:row>35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741970-2BF6-44A3-B0B6-DB5895AA2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22</xdr:row>
      <xdr:rowOff>157164</xdr:rowOff>
    </xdr:from>
    <xdr:to>
      <xdr:col>14</xdr:col>
      <xdr:colOff>476250</xdr:colOff>
      <xdr:row>35</xdr:row>
      <xdr:rowOff>142876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EF3231-FD4B-94AA-CF04-B2D2A9742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 Jeebraeel" refreshedDate="46184.491421990744" createdVersion="8" refreshedVersion="8" minRefreshableVersion="3" recordCount="90" xr:uid="{B92C6CCB-8C3C-4CA3-AB7B-E34D7126BA72}">
  <cacheSource type="worksheet">
    <worksheetSource ref="A1:K91" sheet="Row Data"/>
  </cacheSource>
  <cacheFields count="11">
    <cacheField name="Product_ID" numFmtId="0">
      <sharedItems/>
    </cacheField>
    <cacheField name="Product_Name" numFmtId="0">
      <sharedItems count="20">
        <s v="Laptop"/>
        <s v="Mobile"/>
        <s v="Printer"/>
        <s v="Chair"/>
        <s v="Table"/>
        <s v="Monitor"/>
        <s v="Keyboard"/>
        <s v="Mouse"/>
        <s v="Sofa"/>
        <s v="Projector"/>
        <s v="Smart Watch"/>
        <s v="Headphones"/>
        <s v="Scanner"/>
        <s v="Cupboard"/>
        <s v="Bookshelf"/>
        <s v="Tablet"/>
        <s v="Router"/>
        <s v="Whiteboard"/>
        <s v="Office Desk"/>
        <s v="Filing Cabinet"/>
      </sharedItems>
    </cacheField>
    <cacheField name="Category" numFmtId="0">
      <sharedItems count="3">
        <s v="Electronics"/>
        <s v="Office Supplies"/>
        <s v="Furniture"/>
      </sharedItems>
    </cacheField>
    <cacheField name="Warehouse" numFmtId="0">
      <sharedItems count="5">
        <s v="Delhi"/>
        <s v="Mumbai"/>
        <s v="Bangalore"/>
        <s v="Chennai"/>
        <s v="Hyderabad"/>
      </sharedItems>
    </cacheField>
    <cacheField name="Current_Stock" numFmtId="0">
      <sharedItems containsSemiMixedTypes="0" containsString="0" containsNumber="1" containsInteger="1" minValue="6" maxValue="210"/>
    </cacheField>
    <cacheField name="Reorder_Level" numFmtId="0">
      <sharedItems containsSemiMixedTypes="0" containsString="0" containsNumber="1" containsInteger="1" minValue="10" maxValue="80"/>
    </cacheField>
    <cacheField name="Monthly_Sales" numFmtId="0">
      <sharedItems containsSemiMixedTypes="0" containsString="0" containsNumber="1" containsInteger="1" minValue="3" maxValue="75"/>
    </cacheField>
    <cacheField name="Supplier" numFmtId="0">
      <sharedItems/>
    </cacheField>
    <cacheField name="Unit_Cost" numFmtId="0">
      <sharedItems containsSemiMixedTypes="0" containsString="0" containsNumber="1" containsInteger="1" minValue="800" maxValue="58000"/>
    </cacheField>
    <cacheField name="Inventory_Value" numFmtId="0">
      <sharedItems containsSemiMixedTypes="0" containsString="0" containsNumber="1" containsInteger="1" minValue="144000" maxValue="2625000"/>
    </cacheField>
    <cacheField name="Stock_Status" numFmtId="0">
      <sharedItems count="2">
        <s v="In Stock"/>
        <s v="Low Stoc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P001"/>
    <x v="0"/>
    <x v="0"/>
    <x v="0"/>
    <n v="45"/>
    <n v="30"/>
    <n v="20"/>
    <s v="TechSource India"/>
    <n v="50000"/>
    <n v="2250000"/>
    <x v="0"/>
  </r>
  <r>
    <s v="P002"/>
    <x v="1"/>
    <x v="0"/>
    <x v="1"/>
    <n v="80"/>
    <n v="40"/>
    <n v="35"/>
    <s v="Apex Electronics"/>
    <n v="20000"/>
    <n v="1600000"/>
    <x v="0"/>
  </r>
  <r>
    <s v="P003"/>
    <x v="2"/>
    <x v="1"/>
    <x v="2"/>
    <n v="25"/>
    <n v="20"/>
    <n v="12"/>
    <s v="Smart Office Solutions"/>
    <n v="12000"/>
    <n v="300000"/>
    <x v="0"/>
  </r>
  <r>
    <s v="P004"/>
    <x v="3"/>
    <x v="2"/>
    <x v="3"/>
    <n v="120"/>
    <n v="50"/>
    <n v="18"/>
    <s v="Prime Furniture Suppliers"/>
    <n v="3500"/>
    <n v="420000"/>
    <x v="0"/>
  </r>
  <r>
    <s v="P005"/>
    <x v="4"/>
    <x v="2"/>
    <x v="4"/>
    <n v="70"/>
    <n v="30"/>
    <n v="10"/>
    <s v="Prime Furniture Suppliers"/>
    <n v="7000"/>
    <n v="490000"/>
    <x v="0"/>
  </r>
  <r>
    <s v="P006"/>
    <x v="5"/>
    <x v="0"/>
    <x v="0"/>
    <n v="40"/>
    <n v="25"/>
    <n v="15"/>
    <s v="TechSource India"/>
    <n v="15000"/>
    <n v="600000"/>
    <x v="0"/>
  </r>
  <r>
    <s v="P007"/>
    <x v="6"/>
    <x v="0"/>
    <x v="1"/>
    <n v="150"/>
    <n v="60"/>
    <n v="40"/>
    <s v="Apex Electronics"/>
    <n v="1200"/>
    <n v="180000"/>
    <x v="0"/>
  </r>
  <r>
    <s v="P008"/>
    <x v="7"/>
    <x v="0"/>
    <x v="2"/>
    <n v="180"/>
    <n v="80"/>
    <n v="55"/>
    <s v="Apex Electronics"/>
    <n v="800"/>
    <n v="144000"/>
    <x v="0"/>
  </r>
  <r>
    <s v="P009"/>
    <x v="8"/>
    <x v="2"/>
    <x v="3"/>
    <n v="20"/>
    <n v="15"/>
    <n v="5"/>
    <s v="Elite Traders"/>
    <n v="30000"/>
    <n v="600000"/>
    <x v="0"/>
  </r>
  <r>
    <s v="P010"/>
    <x v="9"/>
    <x v="1"/>
    <x v="4"/>
    <n v="15"/>
    <n v="10"/>
    <n v="4"/>
    <s v="Smart Office Solutions"/>
    <n v="25000"/>
    <n v="375000"/>
    <x v="0"/>
  </r>
  <r>
    <s v="P011"/>
    <x v="0"/>
    <x v="0"/>
    <x v="0"/>
    <n v="35"/>
    <n v="30"/>
    <n v="25"/>
    <s v="TechSource India"/>
    <n v="52000"/>
    <n v="1820000"/>
    <x v="0"/>
  </r>
  <r>
    <s v="P012"/>
    <x v="1"/>
    <x v="0"/>
    <x v="1"/>
    <n v="90"/>
    <n v="50"/>
    <n v="38"/>
    <s v="Apex Electronics"/>
    <n v="22000"/>
    <n v="1980000"/>
    <x v="0"/>
  </r>
  <r>
    <s v="P013"/>
    <x v="2"/>
    <x v="1"/>
    <x v="2"/>
    <n v="18"/>
    <n v="20"/>
    <n v="10"/>
    <s v="Bright Office Products"/>
    <n v="13000"/>
    <n v="234000"/>
    <x v="1"/>
  </r>
  <r>
    <s v="P014"/>
    <x v="3"/>
    <x v="2"/>
    <x v="3"/>
    <n v="110"/>
    <n v="50"/>
    <n v="20"/>
    <s v="Nilkamal Distributors"/>
    <n v="3800"/>
    <n v="418000"/>
    <x v="0"/>
  </r>
  <r>
    <s v="P015"/>
    <x v="4"/>
    <x v="2"/>
    <x v="4"/>
    <n v="65"/>
    <n v="30"/>
    <n v="12"/>
    <s v="Prime Furniture Suppliers"/>
    <n v="7500"/>
    <n v="487500"/>
    <x v="0"/>
  </r>
  <r>
    <s v="P016"/>
    <x v="5"/>
    <x v="0"/>
    <x v="0"/>
    <n v="30"/>
    <n v="25"/>
    <n v="14"/>
    <s v="TechSource India"/>
    <n v="16000"/>
    <n v="480000"/>
    <x v="0"/>
  </r>
  <r>
    <s v="P017"/>
    <x v="6"/>
    <x v="0"/>
    <x v="1"/>
    <n v="140"/>
    <n v="60"/>
    <n v="45"/>
    <s v="Apex Electronics"/>
    <n v="1300"/>
    <n v="182000"/>
    <x v="0"/>
  </r>
  <r>
    <s v="P018"/>
    <x v="7"/>
    <x v="0"/>
    <x v="2"/>
    <n v="170"/>
    <n v="80"/>
    <n v="60"/>
    <s v="Apex Electronics"/>
    <n v="850"/>
    <n v="144500"/>
    <x v="0"/>
  </r>
  <r>
    <s v="P019"/>
    <x v="8"/>
    <x v="2"/>
    <x v="3"/>
    <n v="18"/>
    <n v="15"/>
    <n v="6"/>
    <s v="Elite Traders"/>
    <n v="32000"/>
    <n v="576000"/>
    <x v="0"/>
  </r>
  <r>
    <s v="P020"/>
    <x v="9"/>
    <x v="1"/>
    <x v="4"/>
    <n v="12"/>
    <n v="10"/>
    <n v="3"/>
    <s v="Smart Office Solutions"/>
    <n v="26000"/>
    <n v="312000"/>
    <x v="0"/>
  </r>
  <r>
    <s v="P021"/>
    <x v="10"/>
    <x v="0"/>
    <x v="0"/>
    <n v="75"/>
    <n v="35"/>
    <n v="30"/>
    <s v="Future Retail Supplies"/>
    <n v="5000"/>
    <n v="375000"/>
    <x v="0"/>
  </r>
  <r>
    <s v="P022"/>
    <x v="11"/>
    <x v="0"/>
    <x v="1"/>
    <n v="130"/>
    <n v="50"/>
    <n v="42"/>
    <s v="Global Supply Chain Ltd"/>
    <n v="2500"/>
    <n v="325000"/>
    <x v="0"/>
  </r>
  <r>
    <s v="P023"/>
    <x v="12"/>
    <x v="1"/>
    <x v="2"/>
    <n v="22"/>
    <n v="15"/>
    <n v="8"/>
    <s v="Bright Office Products"/>
    <n v="9000"/>
    <n v="198000"/>
    <x v="0"/>
  </r>
  <r>
    <s v="P024"/>
    <x v="13"/>
    <x v="2"/>
    <x v="3"/>
    <n v="28"/>
    <n v="20"/>
    <n v="7"/>
    <s v="Godrej Furniture Supply"/>
    <n v="18000"/>
    <n v="504000"/>
    <x v="0"/>
  </r>
  <r>
    <s v="P025"/>
    <x v="14"/>
    <x v="2"/>
    <x v="4"/>
    <n v="35"/>
    <n v="20"/>
    <n v="9"/>
    <s v="Prime Furniture Suppliers"/>
    <n v="12000"/>
    <n v="420000"/>
    <x v="0"/>
  </r>
  <r>
    <s v="P026"/>
    <x v="15"/>
    <x v="0"/>
    <x v="0"/>
    <n v="50"/>
    <n v="25"/>
    <n v="18"/>
    <s v="TechSource India"/>
    <n v="18000"/>
    <n v="900000"/>
    <x v="0"/>
  </r>
  <r>
    <s v="P027"/>
    <x v="16"/>
    <x v="0"/>
    <x v="1"/>
    <n v="85"/>
    <n v="40"/>
    <n v="28"/>
    <s v="Global Supply Chain Ltd"/>
    <n v="3500"/>
    <n v="297500"/>
    <x v="0"/>
  </r>
  <r>
    <s v="P028"/>
    <x v="17"/>
    <x v="1"/>
    <x v="2"/>
    <n v="45"/>
    <n v="20"/>
    <n v="15"/>
    <s v="Smart Office Solutions"/>
    <n v="4000"/>
    <n v="180000"/>
    <x v="0"/>
  </r>
  <r>
    <s v="P029"/>
    <x v="18"/>
    <x v="2"/>
    <x v="3"/>
    <n v="32"/>
    <n v="20"/>
    <n v="8"/>
    <s v="Nilkamal Distributors"/>
    <n v="14000"/>
    <n v="448000"/>
    <x v="0"/>
  </r>
  <r>
    <s v="P030"/>
    <x v="19"/>
    <x v="2"/>
    <x v="4"/>
    <n v="25"/>
    <n v="15"/>
    <n v="6"/>
    <s v="Godrej Furniture Supply"/>
    <n v="10000"/>
    <n v="250000"/>
    <x v="0"/>
  </r>
  <r>
    <s v="P031"/>
    <x v="0"/>
    <x v="0"/>
    <x v="0"/>
    <n v="28"/>
    <n v="30"/>
    <n v="22"/>
    <s v="TechSource India"/>
    <n v="54000"/>
    <n v="1512000"/>
    <x v="1"/>
  </r>
  <r>
    <s v="P032"/>
    <x v="1"/>
    <x v="0"/>
    <x v="1"/>
    <n v="95"/>
    <n v="50"/>
    <n v="40"/>
    <s v="Apex Electronics"/>
    <n v="23000"/>
    <n v="2185000"/>
    <x v="0"/>
  </r>
  <r>
    <s v="P033"/>
    <x v="2"/>
    <x v="1"/>
    <x v="2"/>
    <n v="16"/>
    <n v="20"/>
    <n v="9"/>
    <s v="Bright Office Products"/>
    <n v="13500"/>
    <n v="216000"/>
    <x v="1"/>
  </r>
  <r>
    <s v="P034"/>
    <x v="3"/>
    <x v="2"/>
    <x v="3"/>
    <n v="125"/>
    <n v="50"/>
    <n v="22"/>
    <s v="Nilkamal Distributors"/>
    <n v="3900"/>
    <n v="487500"/>
    <x v="0"/>
  </r>
  <r>
    <s v="P035"/>
    <x v="4"/>
    <x v="2"/>
    <x v="4"/>
    <n v="72"/>
    <n v="30"/>
    <n v="11"/>
    <s v="Prime Furniture Suppliers"/>
    <n v="7800"/>
    <n v="561600"/>
    <x v="0"/>
  </r>
  <r>
    <s v="P036"/>
    <x v="5"/>
    <x v="0"/>
    <x v="0"/>
    <n v="26"/>
    <n v="25"/>
    <n v="16"/>
    <s v="TechSource India"/>
    <n v="16500"/>
    <n v="429000"/>
    <x v="0"/>
  </r>
  <r>
    <s v="P037"/>
    <x v="6"/>
    <x v="0"/>
    <x v="1"/>
    <n v="155"/>
    <n v="60"/>
    <n v="48"/>
    <s v="Apex Electronics"/>
    <n v="1400"/>
    <n v="217000"/>
    <x v="0"/>
  </r>
  <r>
    <s v="P038"/>
    <x v="7"/>
    <x v="0"/>
    <x v="2"/>
    <n v="190"/>
    <n v="80"/>
    <n v="65"/>
    <s v="Apex Electronics"/>
    <n v="900"/>
    <n v="171000"/>
    <x v="0"/>
  </r>
  <r>
    <s v="P039"/>
    <x v="8"/>
    <x v="2"/>
    <x v="3"/>
    <n v="14"/>
    <n v="15"/>
    <n v="7"/>
    <s v="Elite Traders"/>
    <n v="34000"/>
    <n v="476000"/>
    <x v="1"/>
  </r>
  <r>
    <s v="P040"/>
    <x v="9"/>
    <x v="1"/>
    <x v="4"/>
    <n v="10"/>
    <n v="10"/>
    <n v="4"/>
    <s v="Smart Office Solutions"/>
    <n v="27000"/>
    <n v="270000"/>
    <x v="1"/>
  </r>
  <r>
    <s v="P041"/>
    <x v="10"/>
    <x v="0"/>
    <x v="0"/>
    <n v="82"/>
    <n v="35"/>
    <n v="34"/>
    <s v="Future Retail Supplies"/>
    <n v="5500"/>
    <n v="451000"/>
    <x v="0"/>
  </r>
  <r>
    <s v="P042"/>
    <x v="11"/>
    <x v="0"/>
    <x v="1"/>
    <n v="145"/>
    <n v="50"/>
    <n v="45"/>
    <s v="Global Supply Chain Ltd"/>
    <n v="2800"/>
    <n v="406000"/>
    <x v="0"/>
  </r>
  <r>
    <s v="P043"/>
    <x v="12"/>
    <x v="1"/>
    <x v="2"/>
    <n v="20"/>
    <n v="15"/>
    <n v="10"/>
    <s v="Bright Office Products"/>
    <n v="9500"/>
    <n v="190000"/>
    <x v="0"/>
  </r>
  <r>
    <s v="P044"/>
    <x v="13"/>
    <x v="2"/>
    <x v="3"/>
    <n v="30"/>
    <n v="20"/>
    <n v="8"/>
    <s v="Godrej Furniture Supply"/>
    <n v="19000"/>
    <n v="570000"/>
    <x v="0"/>
  </r>
  <r>
    <s v="P045"/>
    <x v="14"/>
    <x v="2"/>
    <x v="4"/>
    <n v="38"/>
    <n v="20"/>
    <n v="10"/>
    <s v="Prime Furniture Suppliers"/>
    <n v="12500"/>
    <n v="475000"/>
    <x v="0"/>
  </r>
  <r>
    <s v="P046"/>
    <x v="15"/>
    <x v="0"/>
    <x v="0"/>
    <n v="55"/>
    <n v="25"/>
    <n v="20"/>
    <s v="TechSource India"/>
    <n v="19000"/>
    <n v="1045000"/>
    <x v="0"/>
  </r>
  <r>
    <s v="P047"/>
    <x v="16"/>
    <x v="0"/>
    <x v="1"/>
    <n v="90"/>
    <n v="40"/>
    <n v="30"/>
    <s v="Global Supply Chain Ltd"/>
    <n v="3800"/>
    <n v="342000"/>
    <x v="0"/>
  </r>
  <r>
    <s v="P048"/>
    <x v="17"/>
    <x v="1"/>
    <x v="2"/>
    <n v="48"/>
    <n v="20"/>
    <n v="18"/>
    <s v="Smart Office Solutions"/>
    <n v="4200"/>
    <n v="201600"/>
    <x v="0"/>
  </r>
  <r>
    <s v="P049"/>
    <x v="18"/>
    <x v="2"/>
    <x v="3"/>
    <n v="35"/>
    <n v="20"/>
    <n v="9"/>
    <s v="Nilkamal Distributors"/>
    <n v="15000"/>
    <n v="525000"/>
    <x v="0"/>
  </r>
  <r>
    <s v="P050"/>
    <x v="19"/>
    <x v="2"/>
    <x v="4"/>
    <n v="22"/>
    <n v="15"/>
    <n v="7"/>
    <s v="Godrej Furniture Supply"/>
    <n v="11000"/>
    <n v="242000"/>
    <x v="0"/>
  </r>
  <r>
    <s v="P051"/>
    <x v="0"/>
    <x v="0"/>
    <x v="0"/>
    <n v="24"/>
    <n v="30"/>
    <n v="24"/>
    <s v="TechSource India"/>
    <n v="56000"/>
    <n v="1344000"/>
    <x v="1"/>
  </r>
  <r>
    <s v="P052"/>
    <x v="1"/>
    <x v="0"/>
    <x v="1"/>
    <n v="100"/>
    <n v="50"/>
    <n v="42"/>
    <s v="Apex Electronics"/>
    <n v="24000"/>
    <n v="2400000"/>
    <x v="0"/>
  </r>
  <r>
    <s v="P053"/>
    <x v="2"/>
    <x v="1"/>
    <x v="2"/>
    <n v="14"/>
    <n v="20"/>
    <n v="11"/>
    <s v="Bright Office Products"/>
    <n v="14000"/>
    <n v="196000"/>
    <x v="1"/>
  </r>
  <r>
    <s v="P054"/>
    <x v="3"/>
    <x v="2"/>
    <x v="3"/>
    <n v="130"/>
    <n v="50"/>
    <n v="25"/>
    <s v="Nilkamal Distributors"/>
    <n v="4000"/>
    <n v="520000"/>
    <x v="0"/>
  </r>
  <r>
    <s v="P055"/>
    <x v="4"/>
    <x v="2"/>
    <x v="4"/>
    <n v="75"/>
    <n v="30"/>
    <n v="13"/>
    <s v="Prime Furniture Suppliers"/>
    <n v="8000"/>
    <n v="600000"/>
    <x v="0"/>
  </r>
  <r>
    <s v="P056"/>
    <x v="5"/>
    <x v="0"/>
    <x v="0"/>
    <n v="22"/>
    <n v="25"/>
    <n v="18"/>
    <s v="TechSource India"/>
    <n v="17000"/>
    <n v="374000"/>
    <x v="1"/>
  </r>
  <r>
    <s v="P057"/>
    <x v="6"/>
    <x v="0"/>
    <x v="1"/>
    <n v="160"/>
    <n v="60"/>
    <n v="50"/>
    <s v="Apex Electronics"/>
    <n v="1500"/>
    <n v="240000"/>
    <x v="0"/>
  </r>
  <r>
    <s v="P058"/>
    <x v="7"/>
    <x v="0"/>
    <x v="2"/>
    <n v="200"/>
    <n v="80"/>
    <n v="70"/>
    <s v="Apex Electronics"/>
    <n v="950"/>
    <n v="190000"/>
    <x v="0"/>
  </r>
  <r>
    <s v="P059"/>
    <x v="8"/>
    <x v="2"/>
    <x v="3"/>
    <n v="12"/>
    <n v="15"/>
    <n v="8"/>
    <s v="Elite Traders"/>
    <n v="35000"/>
    <n v="420000"/>
    <x v="1"/>
  </r>
  <r>
    <s v="P060"/>
    <x v="9"/>
    <x v="1"/>
    <x v="4"/>
    <n v="8"/>
    <n v="10"/>
    <n v="5"/>
    <s v="Smart Office Solutions"/>
    <n v="28000"/>
    <n v="224000"/>
    <x v="1"/>
  </r>
  <r>
    <s v="P061"/>
    <x v="10"/>
    <x v="0"/>
    <x v="0"/>
    <n v="88"/>
    <n v="35"/>
    <n v="36"/>
    <s v="Future Retail Supplies"/>
    <n v="5800"/>
    <n v="510400"/>
    <x v="0"/>
  </r>
  <r>
    <s v="P062"/>
    <x v="11"/>
    <x v="0"/>
    <x v="1"/>
    <n v="150"/>
    <n v="50"/>
    <n v="48"/>
    <s v="Global Supply Chain Ltd"/>
    <n v="3000"/>
    <n v="450000"/>
    <x v="0"/>
  </r>
  <r>
    <s v="P063"/>
    <x v="12"/>
    <x v="1"/>
    <x v="2"/>
    <n v="18"/>
    <n v="15"/>
    <n v="12"/>
    <s v="Bright Office Products"/>
    <n v="9800"/>
    <n v="176400"/>
    <x v="0"/>
  </r>
  <r>
    <s v="P064"/>
    <x v="13"/>
    <x v="2"/>
    <x v="3"/>
    <n v="34"/>
    <n v="20"/>
    <n v="10"/>
    <s v="Godrej Furniture Supply"/>
    <n v="20000"/>
    <n v="680000"/>
    <x v="0"/>
  </r>
  <r>
    <s v="P065"/>
    <x v="14"/>
    <x v="2"/>
    <x v="4"/>
    <n v="42"/>
    <n v="20"/>
    <n v="12"/>
    <s v="Prime Furniture Suppliers"/>
    <n v="13000"/>
    <n v="546000"/>
    <x v="0"/>
  </r>
  <r>
    <s v="P066"/>
    <x v="15"/>
    <x v="0"/>
    <x v="0"/>
    <n v="60"/>
    <n v="25"/>
    <n v="22"/>
    <s v="TechSource India"/>
    <n v="20000"/>
    <n v="1200000"/>
    <x v="0"/>
  </r>
  <r>
    <s v="P067"/>
    <x v="16"/>
    <x v="0"/>
    <x v="1"/>
    <n v="95"/>
    <n v="40"/>
    <n v="32"/>
    <s v="Global Supply Chain Ltd"/>
    <n v="4000"/>
    <n v="380000"/>
    <x v="0"/>
  </r>
  <r>
    <s v="P068"/>
    <x v="17"/>
    <x v="1"/>
    <x v="2"/>
    <n v="52"/>
    <n v="20"/>
    <n v="20"/>
    <s v="Smart Office Solutions"/>
    <n v="4500"/>
    <n v="234000"/>
    <x v="0"/>
  </r>
  <r>
    <s v="P069"/>
    <x v="18"/>
    <x v="2"/>
    <x v="3"/>
    <n v="38"/>
    <n v="20"/>
    <n v="10"/>
    <s v="Nilkamal Distributors"/>
    <n v="15500"/>
    <n v="589000"/>
    <x v="0"/>
  </r>
  <r>
    <s v="P070"/>
    <x v="19"/>
    <x v="2"/>
    <x v="4"/>
    <n v="20"/>
    <n v="15"/>
    <n v="8"/>
    <s v="Godrej Furniture Supply"/>
    <n v="12000"/>
    <n v="240000"/>
    <x v="0"/>
  </r>
  <r>
    <s v="P071"/>
    <x v="0"/>
    <x v="0"/>
    <x v="0"/>
    <n v="20"/>
    <n v="30"/>
    <n v="26"/>
    <s v="TechSource India"/>
    <n v="58000"/>
    <n v="1160000"/>
    <x v="1"/>
  </r>
  <r>
    <s v="P072"/>
    <x v="1"/>
    <x v="0"/>
    <x v="1"/>
    <n v="105"/>
    <n v="50"/>
    <n v="45"/>
    <s v="Apex Electronics"/>
    <n v="25000"/>
    <n v="2625000"/>
    <x v="0"/>
  </r>
  <r>
    <s v="P073"/>
    <x v="2"/>
    <x v="1"/>
    <x v="2"/>
    <n v="12"/>
    <n v="20"/>
    <n v="12"/>
    <s v="Bright Office Products"/>
    <n v="14500"/>
    <n v="174000"/>
    <x v="1"/>
  </r>
  <r>
    <s v="P074"/>
    <x v="3"/>
    <x v="2"/>
    <x v="3"/>
    <n v="135"/>
    <n v="50"/>
    <n v="28"/>
    <s v="Nilkamal Distributors"/>
    <n v="4200"/>
    <n v="567000"/>
    <x v="0"/>
  </r>
  <r>
    <s v="P075"/>
    <x v="4"/>
    <x v="2"/>
    <x v="4"/>
    <n v="78"/>
    <n v="30"/>
    <n v="15"/>
    <s v="Prime Furniture Suppliers"/>
    <n v="8500"/>
    <n v="663000"/>
    <x v="0"/>
  </r>
  <r>
    <s v="P076"/>
    <x v="5"/>
    <x v="0"/>
    <x v="0"/>
    <n v="18"/>
    <n v="25"/>
    <n v="20"/>
    <s v="TechSource India"/>
    <n v="18000"/>
    <n v="324000"/>
    <x v="1"/>
  </r>
  <r>
    <s v="P077"/>
    <x v="6"/>
    <x v="0"/>
    <x v="1"/>
    <n v="165"/>
    <n v="60"/>
    <n v="55"/>
    <s v="Apex Electronics"/>
    <n v="1600"/>
    <n v="264000"/>
    <x v="0"/>
  </r>
  <r>
    <s v="P078"/>
    <x v="7"/>
    <x v="0"/>
    <x v="2"/>
    <n v="210"/>
    <n v="80"/>
    <n v="75"/>
    <s v="Apex Electronics"/>
    <n v="1000"/>
    <n v="210000"/>
    <x v="0"/>
  </r>
  <r>
    <s v="P079"/>
    <x v="8"/>
    <x v="2"/>
    <x v="3"/>
    <n v="10"/>
    <n v="15"/>
    <n v="9"/>
    <s v="Elite Traders"/>
    <n v="36000"/>
    <n v="360000"/>
    <x v="1"/>
  </r>
  <r>
    <s v="P080"/>
    <x v="9"/>
    <x v="1"/>
    <x v="4"/>
    <n v="6"/>
    <n v="10"/>
    <n v="6"/>
    <s v="Smart Office Solutions"/>
    <n v="30000"/>
    <n v="180000"/>
    <x v="1"/>
  </r>
  <r>
    <s v="P081"/>
    <x v="10"/>
    <x v="0"/>
    <x v="0"/>
    <n v="92"/>
    <n v="35"/>
    <n v="38"/>
    <s v="Future Retail Supplies"/>
    <n v="6000"/>
    <n v="552000"/>
    <x v="0"/>
  </r>
  <r>
    <s v="P082"/>
    <x v="11"/>
    <x v="0"/>
    <x v="1"/>
    <n v="155"/>
    <n v="50"/>
    <n v="50"/>
    <s v="Global Supply Chain Ltd"/>
    <n v="3200"/>
    <n v="496000"/>
    <x v="0"/>
  </r>
  <r>
    <s v="P083"/>
    <x v="12"/>
    <x v="1"/>
    <x v="2"/>
    <n v="16"/>
    <n v="15"/>
    <n v="13"/>
    <s v="Bright Office Products"/>
    <n v="10000"/>
    <n v="160000"/>
    <x v="0"/>
  </r>
  <r>
    <s v="P084"/>
    <x v="13"/>
    <x v="2"/>
    <x v="3"/>
    <n v="36"/>
    <n v="20"/>
    <n v="11"/>
    <s v="Godrej Furniture Supply"/>
    <n v="21000"/>
    <n v="756000"/>
    <x v="0"/>
  </r>
  <r>
    <s v="P085"/>
    <x v="14"/>
    <x v="2"/>
    <x v="4"/>
    <n v="45"/>
    <n v="20"/>
    <n v="13"/>
    <s v="Prime Furniture Suppliers"/>
    <n v="13500"/>
    <n v="607500"/>
    <x v="0"/>
  </r>
  <r>
    <s v="P086"/>
    <x v="15"/>
    <x v="0"/>
    <x v="0"/>
    <n v="65"/>
    <n v="25"/>
    <n v="24"/>
    <s v="TechSource India"/>
    <n v="21000"/>
    <n v="1365000"/>
    <x v="0"/>
  </r>
  <r>
    <s v="P087"/>
    <x v="16"/>
    <x v="0"/>
    <x v="1"/>
    <n v="100"/>
    <n v="40"/>
    <n v="35"/>
    <s v="Global Supply Chain Ltd"/>
    <n v="4200"/>
    <n v="420000"/>
    <x v="0"/>
  </r>
  <r>
    <s v="P088"/>
    <x v="17"/>
    <x v="1"/>
    <x v="2"/>
    <n v="55"/>
    <n v="20"/>
    <n v="22"/>
    <s v="Smart Office Solutions"/>
    <n v="4800"/>
    <n v="264000"/>
    <x v="0"/>
  </r>
  <r>
    <s v="P089"/>
    <x v="18"/>
    <x v="2"/>
    <x v="3"/>
    <n v="40"/>
    <n v="20"/>
    <n v="12"/>
    <s v="Nilkamal Distributors"/>
    <n v="16000"/>
    <n v="640000"/>
    <x v="0"/>
  </r>
  <r>
    <s v="P090"/>
    <x v="19"/>
    <x v="2"/>
    <x v="4"/>
    <n v="18"/>
    <n v="15"/>
    <n v="9"/>
    <s v="Godrej Furniture Supply"/>
    <n v="12500"/>
    <n v="225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7C9EB-3FFB-4728-A1DE-FBC37E8C47C5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B11:C15" firstHeaderRow="1" firstDataRow="1" firstDataCol="1"/>
  <pivotFields count="11"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Inventory Value" fld="9" baseField="2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6D06A-18D9-4B85-A2BA-8A1654712ECD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 Name">
  <location ref="K11:L22" firstHeaderRow="1" firstDataRow="1" firstDataCol="1"/>
  <pivotFields count="11">
    <pivotField showAll="0"/>
    <pivotField axis="axisRow" showAll="0" measureFilter="1" sortType="descending">
      <items count="21">
        <item x="14"/>
        <item x="3"/>
        <item x="13"/>
        <item x="19"/>
        <item x="11"/>
        <item x="6"/>
        <item x="0"/>
        <item x="1"/>
        <item x="5"/>
        <item x="7"/>
        <item x="18"/>
        <item x="2"/>
        <item x="9"/>
        <item x="16"/>
        <item x="12"/>
        <item x="10"/>
        <item x="8"/>
        <item x="4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1">
    <i>
      <x v="7"/>
    </i>
    <i>
      <x v="6"/>
    </i>
    <i>
      <x v="18"/>
    </i>
    <i>
      <x v="17"/>
    </i>
    <i>
      <x v="2"/>
    </i>
    <i>
      <x v="16"/>
    </i>
    <i>
      <x v="1"/>
    </i>
    <i>
      <x v="8"/>
    </i>
    <i>
      <x v="10"/>
    </i>
    <i>
      <x/>
    </i>
    <i t="grand">
      <x/>
    </i>
  </rowItems>
  <colItems count="1">
    <i/>
  </colItems>
  <dataFields count="1">
    <dataField name="Sum of Inventory Value" fld="9" baseField="1" baseItem="7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10">
            <x v="0"/>
            <x v="1"/>
            <x v="2"/>
            <x v="6"/>
            <x v="7"/>
            <x v="8"/>
            <x v="10"/>
            <x v="16"/>
            <x v="17"/>
            <x v="18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604B7-1EA2-4E3A-AEFC-7198FC3A36CD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Stock Status">
  <location ref="H11:I14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Product_ID" fld="0" subtotal="count" baseField="1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0" type="button" dataOnly="0" labelOnly="1" outline="0" axis="axisRow" fieldPosition="0"/>
    </format>
    <format dxfId="14">
      <pivotArea dataOnly="0" labelOnly="1" fieldPosition="0">
        <references count="1">
          <reference field="10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BBA75-F917-4D6C-935C-608742384587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Warehouse">
  <location ref="E11:F17" firstHeaderRow="1" firstDataRow="1" firstDataCol="1"/>
  <pivotFields count="11">
    <pivotField showAll="0"/>
    <pivotField showAll="0"/>
    <pivotField showAll="0"/>
    <pivotField axis="axisRow" showAll="0" sortType="descending">
      <items count="6">
        <item x="2"/>
        <item x="3"/>
        <item x="0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6">
    <i>
      <x v="2"/>
    </i>
    <i>
      <x v="4"/>
    </i>
    <i>
      <x v="1"/>
    </i>
    <i>
      <x v="3"/>
    </i>
    <i>
      <x/>
    </i>
    <i t="grand">
      <x/>
    </i>
  </rowItems>
  <colItems count="1">
    <i/>
  </colItems>
  <dataFields count="1">
    <dataField name="Sum of Inventory Value" fld="9" baseField="3" baseItem="2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3" type="button" dataOnly="0" labelOnly="1" outline="0" axis="axisRow" fieldPosition="0"/>
    </format>
    <format dxfId="20">
      <pivotArea dataOnly="0" labelOnly="1" fieldPosition="0">
        <references count="1">
          <reference field="3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FAD47-25A9-4A01-9E63-E8367E2A3514}">
  <dimension ref="B2:O37"/>
  <sheetViews>
    <sheetView showGridLines="0" showRowColHeaders="0" tabSelected="1" zoomScale="80" zoomScaleNormal="80" workbookViewId="0">
      <selection activeCell="B4" sqref="B4:O4"/>
    </sheetView>
  </sheetViews>
  <sheetFormatPr defaultRowHeight="15" x14ac:dyDescent="0.25"/>
  <cols>
    <col min="1" max="1" width="3.140625" customWidth="1"/>
    <col min="2" max="2" width="25.42578125" customWidth="1"/>
    <col min="3" max="3" width="19.140625" customWidth="1"/>
    <col min="4" max="4" width="3.5703125" customWidth="1"/>
    <col min="5" max="5" width="21.42578125" customWidth="1"/>
    <col min="6" max="6" width="22.140625" bestFit="1" customWidth="1"/>
    <col min="7" max="7" width="3.42578125" customWidth="1"/>
    <col min="8" max="8" width="26" customWidth="1"/>
    <col min="9" max="9" width="17.5703125" bestFit="1" customWidth="1"/>
    <col min="10" max="10" width="4" customWidth="1"/>
    <col min="11" max="11" width="35.85546875" customWidth="1"/>
    <col min="12" max="12" width="27.42578125" customWidth="1"/>
  </cols>
  <sheetData>
    <row r="2" spans="2:15" ht="26.25" customHeight="1" x14ac:dyDescent="0.25">
      <c r="B2" s="26" t="s">
        <v>147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8"/>
    </row>
    <row r="3" spans="2:15" ht="15" customHeight="1" x14ac:dyDescent="0.25"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1"/>
    </row>
    <row r="4" spans="2:15" s="25" customFormat="1" ht="15" customHeight="1" x14ac:dyDescent="0.25">
      <c r="B4" s="32" t="s">
        <v>151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4"/>
    </row>
    <row r="5" spans="2:15" x14ac:dyDescent="0.25">
      <c r="B5" s="19"/>
      <c r="O5" s="16"/>
    </row>
    <row r="6" spans="2:15" ht="15.75" x14ac:dyDescent="0.25">
      <c r="B6" s="19"/>
      <c r="G6" s="23" t="s">
        <v>148</v>
      </c>
      <c r="H6" s="23"/>
      <c r="I6" s="10">
        <f>SUM('Row Data'!J2:J91)</f>
        <v>51989500</v>
      </c>
      <c r="O6" s="16"/>
    </row>
    <row r="7" spans="2:15" ht="15.75" x14ac:dyDescent="0.25">
      <c r="B7" s="19"/>
      <c r="G7" s="24" t="s">
        <v>152</v>
      </c>
      <c r="H7" s="24"/>
      <c r="I7" s="11">
        <v>20</v>
      </c>
      <c r="O7" s="16"/>
    </row>
    <row r="8" spans="2:15" ht="15.75" x14ac:dyDescent="0.25">
      <c r="B8" s="19"/>
      <c r="G8" s="23" t="s">
        <v>149</v>
      </c>
      <c r="H8" s="23"/>
      <c r="I8" s="10">
        <v>5</v>
      </c>
      <c r="O8" s="16"/>
    </row>
    <row r="9" spans="2:15" ht="15.75" x14ac:dyDescent="0.25">
      <c r="B9" s="19"/>
      <c r="G9" s="22" t="s">
        <v>150</v>
      </c>
      <c r="H9" s="22"/>
      <c r="I9" s="12">
        <v>15</v>
      </c>
      <c r="O9" s="16"/>
    </row>
    <row r="10" spans="2:15" ht="20.25" customHeight="1" x14ac:dyDescent="0.25">
      <c r="B10" s="19"/>
      <c r="O10" s="16"/>
    </row>
    <row r="11" spans="2:15" x14ac:dyDescent="0.25">
      <c r="B11" s="13" t="s">
        <v>2</v>
      </c>
      <c r="C11" s="14" t="s">
        <v>140</v>
      </c>
      <c r="E11" s="13" t="s">
        <v>3</v>
      </c>
      <c r="F11" s="14" t="s">
        <v>146</v>
      </c>
      <c r="H11" s="13" t="s">
        <v>143</v>
      </c>
      <c r="I11" s="14" t="s">
        <v>144</v>
      </c>
      <c r="K11" s="13" t="s">
        <v>145</v>
      </c>
      <c r="L11" s="14" t="s">
        <v>146</v>
      </c>
      <c r="O11" s="16"/>
    </row>
    <row r="12" spans="2:15" x14ac:dyDescent="0.25">
      <c r="B12" s="15" t="s">
        <v>11</v>
      </c>
      <c r="C12" s="16">
        <v>32540400</v>
      </c>
      <c r="E12" s="15" t="s">
        <v>12</v>
      </c>
      <c r="F12" s="16">
        <v>16691400</v>
      </c>
      <c r="H12" s="15" t="s">
        <v>141</v>
      </c>
      <c r="I12" s="16">
        <v>75</v>
      </c>
      <c r="K12" s="15" t="s">
        <v>15</v>
      </c>
      <c r="L12" s="16">
        <v>10790000</v>
      </c>
      <c r="O12" s="16"/>
    </row>
    <row r="13" spans="2:15" x14ac:dyDescent="0.25">
      <c r="B13" s="15" t="s">
        <v>25</v>
      </c>
      <c r="C13" s="16">
        <v>15364100</v>
      </c>
      <c r="E13" s="15" t="s">
        <v>16</v>
      </c>
      <c r="F13" s="16">
        <v>14989500</v>
      </c>
      <c r="H13" s="15" t="s">
        <v>142</v>
      </c>
      <c r="I13" s="16">
        <v>15</v>
      </c>
      <c r="K13" s="15" t="s">
        <v>10</v>
      </c>
      <c r="L13" s="16">
        <v>8086000</v>
      </c>
      <c r="O13" s="16"/>
    </row>
    <row r="14" spans="2:15" x14ac:dyDescent="0.25">
      <c r="B14" s="15" t="s">
        <v>20</v>
      </c>
      <c r="C14" s="16">
        <v>4085000</v>
      </c>
      <c r="E14" s="15" t="s">
        <v>26</v>
      </c>
      <c r="F14" s="16">
        <v>9556500</v>
      </c>
      <c r="H14" s="17" t="s">
        <v>139</v>
      </c>
      <c r="I14" s="18">
        <v>90</v>
      </c>
      <c r="K14" s="15" t="s">
        <v>68</v>
      </c>
      <c r="L14" s="16">
        <v>4510000</v>
      </c>
      <c r="O14" s="16"/>
    </row>
    <row r="15" spans="2:15" x14ac:dyDescent="0.25">
      <c r="B15" s="17" t="s">
        <v>139</v>
      </c>
      <c r="C15" s="18">
        <v>51989500</v>
      </c>
      <c r="E15" s="15" t="s">
        <v>30</v>
      </c>
      <c r="F15" s="16">
        <v>7168600</v>
      </c>
      <c r="K15" s="15" t="s">
        <v>29</v>
      </c>
      <c r="L15" s="16">
        <v>2802100</v>
      </c>
      <c r="O15" s="16"/>
    </row>
    <row r="16" spans="2:15" x14ac:dyDescent="0.25">
      <c r="B16" s="19"/>
      <c r="E16" s="15" t="s">
        <v>21</v>
      </c>
      <c r="F16" s="16">
        <v>3583500</v>
      </c>
      <c r="K16" s="15" t="s">
        <v>63</v>
      </c>
      <c r="L16" s="16">
        <v>2510000</v>
      </c>
      <c r="O16" s="16"/>
    </row>
    <row r="17" spans="2:15" x14ac:dyDescent="0.25">
      <c r="B17" s="19"/>
      <c r="E17" s="17" t="s">
        <v>139</v>
      </c>
      <c r="F17" s="18">
        <v>51989500</v>
      </c>
      <c r="K17" s="15" t="s">
        <v>38</v>
      </c>
      <c r="L17" s="16">
        <v>2432000</v>
      </c>
      <c r="O17" s="16"/>
    </row>
    <row r="18" spans="2:15" x14ac:dyDescent="0.25">
      <c r="B18" s="19"/>
      <c r="K18" s="15" t="s">
        <v>24</v>
      </c>
      <c r="L18" s="16">
        <v>2412500</v>
      </c>
      <c r="O18" s="16"/>
    </row>
    <row r="19" spans="2:15" x14ac:dyDescent="0.25">
      <c r="B19" s="19"/>
      <c r="K19" s="15" t="s">
        <v>32</v>
      </c>
      <c r="L19" s="16">
        <v>2207000</v>
      </c>
      <c r="O19" s="16"/>
    </row>
    <row r="20" spans="2:15" x14ac:dyDescent="0.25">
      <c r="B20" s="19"/>
      <c r="K20" s="15" t="s">
        <v>74</v>
      </c>
      <c r="L20" s="16">
        <v>2202000</v>
      </c>
      <c r="O20" s="16"/>
    </row>
    <row r="21" spans="2:15" x14ac:dyDescent="0.25">
      <c r="B21" s="19"/>
      <c r="K21" s="15" t="s">
        <v>66</v>
      </c>
      <c r="L21" s="16">
        <v>2048500</v>
      </c>
      <c r="O21" s="16"/>
    </row>
    <row r="22" spans="2:15" x14ac:dyDescent="0.25">
      <c r="B22" s="19"/>
      <c r="K22" s="17" t="s">
        <v>139</v>
      </c>
      <c r="L22" s="18">
        <v>40000100</v>
      </c>
      <c r="O22" s="16"/>
    </row>
    <row r="23" spans="2:15" x14ac:dyDescent="0.25">
      <c r="B23" s="19"/>
      <c r="O23" s="16"/>
    </row>
    <row r="24" spans="2:15" x14ac:dyDescent="0.25">
      <c r="B24" s="19"/>
      <c r="O24" s="16"/>
    </row>
    <row r="25" spans="2:15" x14ac:dyDescent="0.25">
      <c r="B25" s="19"/>
      <c r="O25" s="16"/>
    </row>
    <row r="26" spans="2:15" x14ac:dyDescent="0.25">
      <c r="B26" s="19"/>
      <c r="O26" s="16"/>
    </row>
    <row r="27" spans="2:15" x14ac:dyDescent="0.25">
      <c r="B27" s="19"/>
      <c r="O27" s="16"/>
    </row>
    <row r="28" spans="2:15" x14ac:dyDescent="0.25">
      <c r="B28" s="19"/>
      <c r="O28" s="16"/>
    </row>
    <row r="29" spans="2:15" x14ac:dyDescent="0.25">
      <c r="B29" s="19"/>
      <c r="O29" s="16"/>
    </row>
    <row r="30" spans="2:15" x14ac:dyDescent="0.25">
      <c r="B30" s="19"/>
      <c r="O30" s="16"/>
    </row>
    <row r="31" spans="2:15" x14ac:dyDescent="0.25">
      <c r="B31" s="19"/>
      <c r="O31" s="16"/>
    </row>
    <row r="32" spans="2:15" x14ac:dyDescent="0.25">
      <c r="B32" s="19"/>
      <c r="O32" s="16"/>
    </row>
    <row r="33" spans="2:15" x14ac:dyDescent="0.25">
      <c r="B33" s="19"/>
      <c r="O33" s="16"/>
    </row>
    <row r="34" spans="2:15" x14ac:dyDescent="0.25">
      <c r="B34" s="19"/>
      <c r="O34" s="16"/>
    </row>
    <row r="35" spans="2:15" x14ac:dyDescent="0.25">
      <c r="B35" s="19"/>
      <c r="O35" s="16"/>
    </row>
    <row r="36" spans="2:15" x14ac:dyDescent="0.25">
      <c r="B36" s="19"/>
      <c r="O36" s="16"/>
    </row>
    <row r="37" spans="2:15" x14ac:dyDescent="0.25"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18"/>
    </row>
  </sheetData>
  <mergeCells count="2">
    <mergeCell ref="B2:O3"/>
    <mergeCell ref="B4:O4"/>
  </mergeCell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5830-417D-4BE5-AB01-16F6B2ED9DF3}">
  <dimension ref="A1:N91"/>
  <sheetViews>
    <sheetView workbookViewId="0">
      <selection activeCell="M9" sqref="M9"/>
    </sheetView>
  </sheetViews>
  <sheetFormatPr defaultRowHeight="15" x14ac:dyDescent="0.25"/>
  <cols>
    <col min="1" max="1" width="12" style="1" bestFit="1" customWidth="1"/>
    <col min="2" max="2" width="15.85546875" style="1" bestFit="1" customWidth="1"/>
    <col min="3" max="3" width="16.28515625" style="1" customWidth="1"/>
    <col min="4" max="4" width="13.5703125" style="1" customWidth="1"/>
    <col min="5" max="6" width="15.140625" style="2" bestFit="1" customWidth="1"/>
    <col min="7" max="7" width="15.5703125" style="2" bestFit="1" customWidth="1"/>
    <col min="8" max="8" width="24.140625" style="1" bestFit="1" customWidth="1"/>
    <col min="9" max="9" width="10.42578125" style="3" bestFit="1" customWidth="1"/>
    <col min="10" max="10" width="17.42578125" style="1" bestFit="1" customWidth="1"/>
    <col min="11" max="11" width="13.85546875" style="1" bestFit="1" customWidth="1"/>
    <col min="12" max="12" width="13.140625" style="1" bestFit="1" customWidth="1"/>
    <col min="13" max="13" width="7.140625" style="1" bestFit="1" customWidth="1"/>
    <col min="14" max="16384" width="9.140625" style="1"/>
  </cols>
  <sheetData>
    <row r="1" spans="1:14" s="4" customFormat="1" ht="30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137</v>
      </c>
      <c r="K1" s="6" t="s">
        <v>138</v>
      </c>
      <c r="L1"/>
      <c r="M1"/>
    </row>
    <row r="2" spans="1:14" x14ac:dyDescent="0.25">
      <c r="A2" s="7" t="s">
        <v>9</v>
      </c>
      <c r="B2" s="7" t="s">
        <v>10</v>
      </c>
      <c r="C2" s="7" t="s">
        <v>11</v>
      </c>
      <c r="D2" s="7" t="s">
        <v>12</v>
      </c>
      <c r="E2" s="8">
        <v>45</v>
      </c>
      <c r="F2" s="8">
        <v>30</v>
      </c>
      <c r="G2" s="8">
        <v>20</v>
      </c>
      <c r="H2" s="7" t="s">
        <v>13</v>
      </c>
      <c r="I2" s="9">
        <v>50000</v>
      </c>
      <c r="J2" s="8">
        <f>E2*I2</f>
        <v>2250000</v>
      </c>
      <c r="K2" s="7" t="str">
        <f>IF(E2&lt;=F2,"Low Stock","In Stock")</f>
        <v>In Stock</v>
      </c>
      <c r="L2"/>
      <c r="M2"/>
      <c r="N2"/>
    </row>
    <row r="3" spans="1:14" x14ac:dyDescent="0.25">
      <c r="A3" s="7" t="s">
        <v>14</v>
      </c>
      <c r="B3" s="7" t="s">
        <v>15</v>
      </c>
      <c r="C3" s="7" t="s">
        <v>11</v>
      </c>
      <c r="D3" s="7" t="s">
        <v>16</v>
      </c>
      <c r="E3" s="8">
        <v>80</v>
      </c>
      <c r="F3" s="8">
        <v>40</v>
      </c>
      <c r="G3" s="8">
        <v>35</v>
      </c>
      <c r="H3" s="7" t="s">
        <v>17</v>
      </c>
      <c r="I3" s="9">
        <v>20000</v>
      </c>
      <c r="J3" s="8">
        <f t="shared" ref="J3:J66" si="0">E3*I3</f>
        <v>1600000</v>
      </c>
      <c r="K3" s="7" t="str">
        <f t="shared" ref="K3:K66" si="1">IF(E3&lt;=F3,"Low Stock","In Stock")</f>
        <v>In Stock</v>
      </c>
      <c r="L3"/>
      <c r="M3"/>
      <c r="N3"/>
    </row>
    <row r="4" spans="1:14" x14ac:dyDescent="0.25">
      <c r="A4" s="7" t="s">
        <v>18</v>
      </c>
      <c r="B4" s="7" t="s">
        <v>19</v>
      </c>
      <c r="C4" s="7" t="s">
        <v>20</v>
      </c>
      <c r="D4" s="7" t="s">
        <v>21</v>
      </c>
      <c r="E4" s="8">
        <v>25</v>
      </c>
      <c r="F4" s="8">
        <v>20</v>
      </c>
      <c r="G4" s="8">
        <v>12</v>
      </c>
      <c r="H4" s="7" t="s">
        <v>22</v>
      </c>
      <c r="I4" s="9">
        <v>12000</v>
      </c>
      <c r="J4" s="8">
        <f t="shared" si="0"/>
        <v>300000</v>
      </c>
      <c r="K4" s="7" t="str">
        <f t="shared" si="1"/>
        <v>In Stock</v>
      </c>
      <c r="L4"/>
      <c r="M4"/>
      <c r="N4"/>
    </row>
    <row r="5" spans="1:14" x14ac:dyDescent="0.25">
      <c r="A5" s="7" t="s">
        <v>23</v>
      </c>
      <c r="B5" s="7" t="s">
        <v>24</v>
      </c>
      <c r="C5" s="7" t="s">
        <v>25</v>
      </c>
      <c r="D5" s="7" t="s">
        <v>26</v>
      </c>
      <c r="E5" s="8">
        <v>120</v>
      </c>
      <c r="F5" s="8">
        <v>50</v>
      </c>
      <c r="G5" s="8">
        <v>18</v>
      </c>
      <c r="H5" s="7" t="s">
        <v>27</v>
      </c>
      <c r="I5" s="9">
        <v>3500</v>
      </c>
      <c r="J5" s="8">
        <f t="shared" si="0"/>
        <v>420000</v>
      </c>
      <c r="K5" s="7" t="str">
        <f t="shared" si="1"/>
        <v>In Stock</v>
      </c>
      <c r="L5"/>
      <c r="M5"/>
      <c r="N5"/>
    </row>
    <row r="6" spans="1:14" x14ac:dyDescent="0.25">
      <c r="A6" s="7" t="s">
        <v>28</v>
      </c>
      <c r="B6" s="7" t="s">
        <v>29</v>
      </c>
      <c r="C6" s="7" t="s">
        <v>25</v>
      </c>
      <c r="D6" s="7" t="s">
        <v>30</v>
      </c>
      <c r="E6" s="8">
        <v>70</v>
      </c>
      <c r="F6" s="8">
        <v>30</v>
      </c>
      <c r="G6" s="8">
        <v>10</v>
      </c>
      <c r="H6" s="7" t="s">
        <v>27</v>
      </c>
      <c r="I6" s="9">
        <v>7000</v>
      </c>
      <c r="J6" s="8">
        <f t="shared" si="0"/>
        <v>490000</v>
      </c>
      <c r="K6" s="7" t="str">
        <f t="shared" si="1"/>
        <v>In Stock</v>
      </c>
      <c r="L6"/>
      <c r="M6"/>
      <c r="N6"/>
    </row>
    <row r="7" spans="1:14" x14ac:dyDescent="0.25">
      <c r="A7" s="7" t="s">
        <v>31</v>
      </c>
      <c r="B7" s="7" t="s">
        <v>32</v>
      </c>
      <c r="C7" s="7" t="s">
        <v>11</v>
      </c>
      <c r="D7" s="7" t="s">
        <v>12</v>
      </c>
      <c r="E7" s="8">
        <v>40</v>
      </c>
      <c r="F7" s="8">
        <v>25</v>
      </c>
      <c r="G7" s="8">
        <v>15</v>
      </c>
      <c r="H7" s="7" t="s">
        <v>13</v>
      </c>
      <c r="I7" s="9">
        <v>15000</v>
      </c>
      <c r="J7" s="8">
        <f t="shared" si="0"/>
        <v>600000</v>
      </c>
      <c r="K7" s="7" t="str">
        <f t="shared" si="1"/>
        <v>In Stock</v>
      </c>
      <c r="L7"/>
      <c r="M7"/>
      <c r="N7"/>
    </row>
    <row r="8" spans="1:14" x14ac:dyDescent="0.25">
      <c r="A8" s="7" t="s">
        <v>33</v>
      </c>
      <c r="B8" s="7" t="s">
        <v>34</v>
      </c>
      <c r="C8" s="7" t="s">
        <v>11</v>
      </c>
      <c r="D8" s="7" t="s">
        <v>16</v>
      </c>
      <c r="E8" s="8">
        <v>150</v>
      </c>
      <c r="F8" s="8">
        <v>60</v>
      </c>
      <c r="G8" s="8">
        <v>40</v>
      </c>
      <c r="H8" s="7" t="s">
        <v>17</v>
      </c>
      <c r="I8" s="9">
        <v>1200</v>
      </c>
      <c r="J8" s="8">
        <f t="shared" si="0"/>
        <v>180000</v>
      </c>
      <c r="K8" s="7" t="str">
        <f t="shared" si="1"/>
        <v>In Stock</v>
      </c>
      <c r="L8"/>
      <c r="M8"/>
      <c r="N8"/>
    </row>
    <row r="9" spans="1:14" x14ac:dyDescent="0.25">
      <c r="A9" s="7" t="s">
        <v>35</v>
      </c>
      <c r="B9" s="7" t="s">
        <v>36</v>
      </c>
      <c r="C9" s="7" t="s">
        <v>11</v>
      </c>
      <c r="D9" s="7" t="s">
        <v>21</v>
      </c>
      <c r="E9" s="8">
        <v>180</v>
      </c>
      <c r="F9" s="8">
        <v>80</v>
      </c>
      <c r="G9" s="8">
        <v>55</v>
      </c>
      <c r="H9" s="7" t="s">
        <v>17</v>
      </c>
      <c r="I9" s="9">
        <v>800</v>
      </c>
      <c r="J9" s="8">
        <f t="shared" si="0"/>
        <v>144000</v>
      </c>
      <c r="K9" s="7" t="str">
        <f t="shared" si="1"/>
        <v>In Stock</v>
      </c>
      <c r="L9"/>
      <c r="M9"/>
      <c r="N9"/>
    </row>
    <row r="10" spans="1:14" x14ac:dyDescent="0.25">
      <c r="A10" s="7" t="s">
        <v>37</v>
      </c>
      <c r="B10" s="7" t="s">
        <v>38</v>
      </c>
      <c r="C10" s="7" t="s">
        <v>25</v>
      </c>
      <c r="D10" s="7" t="s">
        <v>26</v>
      </c>
      <c r="E10" s="8">
        <v>20</v>
      </c>
      <c r="F10" s="8">
        <v>15</v>
      </c>
      <c r="G10" s="8">
        <v>5</v>
      </c>
      <c r="H10" s="7" t="s">
        <v>39</v>
      </c>
      <c r="I10" s="9">
        <v>30000</v>
      </c>
      <c r="J10" s="8">
        <f t="shared" si="0"/>
        <v>600000</v>
      </c>
      <c r="K10" s="7" t="str">
        <f t="shared" si="1"/>
        <v>In Stock</v>
      </c>
      <c r="L10"/>
      <c r="M10"/>
      <c r="N10"/>
    </row>
    <row r="11" spans="1:14" x14ac:dyDescent="0.25">
      <c r="A11" s="7" t="s">
        <v>40</v>
      </c>
      <c r="B11" s="7" t="s">
        <v>41</v>
      </c>
      <c r="C11" s="7" t="s">
        <v>20</v>
      </c>
      <c r="D11" s="7" t="s">
        <v>30</v>
      </c>
      <c r="E11" s="8">
        <v>15</v>
      </c>
      <c r="F11" s="8">
        <v>10</v>
      </c>
      <c r="G11" s="8">
        <v>4</v>
      </c>
      <c r="H11" s="7" t="s">
        <v>22</v>
      </c>
      <c r="I11" s="9">
        <v>25000</v>
      </c>
      <c r="J11" s="8">
        <f t="shared" si="0"/>
        <v>375000</v>
      </c>
      <c r="K11" s="7" t="str">
        <f t="shared" si="1"/>
        <v>In Stock</v>
      </c>
      <c r="L11"/>
      <c r="M11"/>
      <c r="N11"/>
    </row>
    <row r="12" spans="1:14" x14ac:dyDescent="0.25">
      <c r="A12" s="7" t="s">
        <v>42</v>
      </c>
      <c r="B12" s="7" t="s">
        <v>10</v>
      </c>
      <c r="C12" s="7" t="s">
        <v>11</v>
      </c>
      <c r="D12" s="7" t="s">
        <v>12</v>
      </c>
      <c r="E12" s="8">
        <v>35</v>
      </c>
      <c r="F12" s="8">
        <v>30</v>
      </c>
      <c r="G12" s="8">
        <v>25</v>
      </c>
      <c r="H12" s="7" t="s">
        <v>13</v>
      </c>
      <c r="I12" s="9">
        <v>52000</v>
      </c>
      <c r="J12" s="8">
        <f t="shared" si="0"/>
        <v>1820000</v>
      </c>
      <c r="K12" s="7" t="str">
        <f t="shared" si="1"/>
        <v>In Stock</v>
      </c>
      <c r="L12"/>
      <c r="M12"/>
      <c r="N12"/>
    </row>
    <row r="13" spans="1:14" x14ac:dyDescent="0.25">
      <c r="A13" s="7" t="s">
        <v>43</v>
      </c>
      <c r="B13" s="7" t="s">
        <v>15</v>
      </c>
      <c r="C13" s="7" t="s">
        <v>11</v>
      </c>
      <c r="D13" s="7" t="s">
        <v>16</v>
      </c>
      <c r="E13" s="8">
        <v>90</v>
      </c>
      <c r="F13" s="8">
        <v>50</v>
      </c>
      <c r="G13" s="8">
        <v>38</v>
      </c>
      <c r="H13" s="7" t="s">
        <v>17</v>
      </c>
      <c r="I13" s="9">
        <v>22000</v>
      </c>
      <c r="J13" s="8">
        <f t="shared" si="0"/>
        <v>1980000</v>
      </c>
      <c r="K13" s="7" t="str">
        <f t="shared" si="1"/>
        <v>In Stock</v>
      </c>
      <c r="L13"/>
      <c r="M13"/>
      <c r="N13"/>
    </row>
    <row r="14" spans="1:14" x14ac:dyDescent="0.25">
      <c r="A14" s="7" t="s">
        <v>44</v>
      </c>
      <c r="B14" s="7" t="s">
        <v>19</v>
      </c>
      <c r="C14" s="7" t="s">
        <v>20</v>
      </c>
      <c r="D14" s="7" t="s">
        <v>21</v>
      </c>
      <c r="E14" s="8">
        <v>18</v>
      </c>
      <c r="F14" s="8">
        <v>20</v>
      </c>
      <c r="G14" s="8">
        <v>10</v>
      </c>
      <c r="H14" s="7" t="s">
        <v>45</v>
      </c>
      <c r="I14" s="9">
        <v>13000</v>
      </c>
      <c r="J14" s="8">
        <f t="shared" si="0"/>
        <v>234000</v>
      </c>
      <c r="K14" s="7" t="str">
        <f t="shared" si="1"/>
        <v>Low Stock</v>
      </c>
      <c r="L14">
        <f>COUNTIF(K:K,"Low Stock")</f>
        <v>15</v>
      </c>
      <c r="M14"/>
      <c r="N14"/>
    </row>
    <row r="15" spans="1:14" x14ac:dyDescent="0.25">
      <c r="A15" s="7" t="s">
        <v>46</v>
      </c>
      <c r="B15" s="7" t="s">
        <v>24</v>
      </c>
      <c r="C15" s="7" t="s">
        <v>25</v>
      </c>
      <c r="D15" s="7" t="s">
        <v>26</v>
      </c>
      <c r="E15" s="8">
        <v>110</v>
      </c>
      <c r="F15" s="8">
        <v>50</v>
      </c>
      <c r="G15" s="8">
        <v>20</v>
      </c>
      <c r="H15" s="7" t="s">
        <v>47</v>
      </c>
      <c r="I15" s="9">
        <v>3800</v>
      </c>
      <c r="J15" s="8">
        <f t="shared" si="0"/>
        <v>418000</v>
      </c>
      <c r="K15" s="7" t="str">
        <f t="shared" si="1"/>
        <v>In Stock</v>
      </c>
      <c r="L15"/>
      <c r="M15"/>
      <c r="N15"/>
    </row>
    <row r="16" spans="1:14" x14ac:dyDescent="0.25">
      <c r="A16" s="7" t="s">
        <v>48</v>
      </c>
      <c r="B16" s="7" t="s">
        <v>29</v>
      </c>
      <c r="C16" s="7" t="s">
        <v>25</v>
      </c>
      <c r="D16" s="7" t="s">
        <v>30</v>
      </c>
      <c r="E16" s="8">
        <v>65</v>
      </c>
      <c r="F16" s="8">
        <v>30</v>
      </c>
      <c r="G16" s="8">
        <v>12</v>
      </c>
      <c r="H16" s="7" t="s">
        <v>27</v>
      </c>
      <c r="I16" s="9">
        <v>7500</v>
      </c>
      <c r="J16" s="8">
        <f t="shared" si="0"/>
        <v>487500</v>
      </c>
      <c r="K16" s="7" t="str">
        <f t="shared" si="1"/>
        <v>In Stock</v>
      </c>
      <c r="L16"/>
      <c r="M16"/>
      <c r="N16"/>
    </row>
    <row r="17" spans="1:14" x14ac:dyDescent="0.25">
      <c r="A17" s="7" t="s">
        <v>49</v>
      </c>
      <c r="B17" s="7" t="s">
        <v>32</v>
      </c>
      <c r="C17" s="7" t="s">
        <v>11</v>
      </c>
      <c r="D17" s="7" t="s">
        <v>12</v>
      </c>
      <c r="E17" s="8">
        <v>30</v>
      </c>
      <c r="F17" s="8">
        <v>25</v>
      </c>
      <c r="G17" s="8">
        <v>14</v>
      </c>
      <c r="H17" s="7" t="s">
        <v>13</v>
      </c>
      <c r="I17" s="9">
        <v>16000</v>
      </c>
      <c r="J17" s="8">
        <f t="shared" si="0"/>
        <v>480000</v>
      </c>
      <c r="K17" s="7" t="str">
        <f t="shared" si="1"/>
        <v>In Stock</v>
      </c>
      <c r="L17"/>
      <c r="M17"/>
      <c r="N17"/>
    </row>
    <row r="18" spans="1:14" x14ac:dyDescent="0.25">
      <c r="A18" s="7" t="s">
        <v>50</v>
      </c>
      <c r="B18" s="7" t="s">
        <v>34</v>
      </c>
      <c r="C18" s="7" t="s">
        <v>11</v>
      </c>
      <c r="D18" s="7" t="s">
        <v>16</v>
      </c>
      <c r="E18" s="8">
        <v>140</v>
      </c>
      <c r="F18" s="8">
        <v>60</v>
      </c>
      <c r="G18" s="8">
        <v>45</v>
      </c>
      <c r="H18" s="7" t="s">
        <v>17</v>
      </c>
      <c r="I18" s="9">
        <v>1300</v>
      </c>
      <c r="J18" s="8">
        <f t="shared" si="0"/>
        <v>182000</v>
      </c>
      <c r="K18" s="7" t="str">
        <f t="shared" si="1"/>
        <v>In Stock</v>
      </c>
      <c r="L18"/>
      <c r="M18"/>
      <c r="N18"/>
    </row>
    <row r="19" spans="1:14" x14ac:dyDescent="0.25">
      <c r="A19" s="7" t="s">
        <v>51</v>
      </c>
      <c r="B19" s="7" t="s">
        <v>36</v>
      </c>
      <c r="C19" s="7" t="s">
        <v>11</v>
      </c>
      <c r="D19" s="7" t="s">
        <v>21</v>
      </c>
      <c r="E19" s="8">
        <v>170</v>
      </c>
      <c r="F19" s="8">
        <v>80</v>
      </c>
      <c r="G19" s="8">
        <v>60</v>
      </c>
      <c r="H19" s="7" t="s">
        <v>17</v>
      </c>
      <c r="I19" s="9">
        <v>850</v>
      </c>
      <c r="J19" s="8">
        <f t="shared" si="0"/>
        <v>144500</v>
      </c>
      <c r="K19" s="7" t="str">
        <f t="shared" si="1"/>
        <v>In Stock</v>
      </c>
      <c r="L19"/>
      <c r="M19"/>
      <c r="N19"/>
    </row>
    <row r="20" spans="1:14" x14ac:dyDescent="0.25">
      <c r="A20" s="7" t="s">
        <v>52</v>
      </c>
      <c r="B20" s="7" t="s">
        <v>38</v>
      </c>
      <c r="C20" s="7" t="s">
        <v>25</v>
      </c>
      <c r="D20" s="7" t="s">
        <v>26</v>
      </c>
      <c r="E20" s="8">
        <v>18</v>
      </c>
      <c r="F20" s="8">
        <v>15</v>
      </c>
      <c r="G20" s="8">
        <v>6</v>
      </c>
      <c r="H20" s="7" t="s">
        <v>39</v>
      </c>
      <c r="I20" s="9">
        <v>32000</v>
      </c>
      <c r="J20" s="8">
        <f t="shared" si="0"/>
        <v>576000</v>
      </c>
      <c r="K20" s="7" t="str">
        <f t="shared" si="1"/>
        <v>In Stock</v>
      </c>
      <c r="L20"/>
      <c r="M20"/>
      <c r="N20"/>
    </row>
    <row r="21" spans="1:14" x14ac:dyDescent="0.25">
      <c r="A21" s="7" t="s">
        <v>53</v>
      </c>
      <c r="B21" s="7" t="s">
        <v>41</v>
      </c>
      <c r="C21" s="7" t="s">
        <v>20</v>
      </c>
      <c r="D21" s="7" t="s">
        <v>30</v>
      </c>
      <c r="E21" s="8">
        <v>12</v>
      </c>
      <c r="F21" s="8">
        <v>10</v>
      </c>
      <c r="G21" s="8">
        <v>3</v>
      </c>
      <c r="H21" s="7" t="s">
        <v>22</v>
      </c>
      <c r="I21" s="9">
        <v>26000</v>
      </c>
      <c r="J21" s="8">
        <f t="shared" si="0"/>
        <v>312000</v>
      </c>
      <c r="K21" s="7" t="str">
        <f t="shared" si="1"/>
        <v>In Stock</v>
      </c>
      <c r="L21"/>
      <c r="M21"/>
    </row>
    <row r="22" spans="1:14" x14ac:dyDescent="0.25">
      <c r="A22" s="7" t="s">
        <v>54</v>
      </c>
      <c r="B22" s="7" t="s">
        <v>55</v>
      </c>
      <c r="C22" s="7" t="s">
        <v>11</v>
      </c>
      <c r="D22" s="7" t="s">
        <v>12</v>
      </c>
      <c r="E22" s="8">
        <v>75</v>
      </c>
      <c r="F22" s="8">
        <v>35</v>
      </c>
      <c r="G22" s="8">
        <v>30</v>
      </c>
      <c r="H22" s="7" t="s">
        <v>56</v>
      </c>
      <c r="I22" s="9">
        <v>5000</v>
      </c>
      <c r="J22" s="8">
        <f t="shared" si="0"/>
        <v>375000</v>
      </c>
      <c r="K22" s="7" t="str">
        <f t="shared" si="1"/>
        <v>In Stock</v>
      </c>
      <c r="L22"/>
      <c r="M22"/>
    </row>
    <row r="23" spans="1:14" x14ac:dyDescent="0.25">
      <c r="A23" s="7" t="s">
        <v>57</v>
      </c>
      <c r="B23" s="7" t="s">
        <v>58</v>
      </c>
      <c r="C23" s="7" t="s">
        <v>11</v>
      </c>
      <c r="D23" s="7" t="s">
        <v>16</v>
      </c>
      <c r="E23" s="8">
        <v>130</v>
      </c>
      <c r="F23" s="8">
        <v>50</v>
      </c>
      <c r="G23" s="8">
        <v>42</v>
      </c>
      <c r="H23" s="7" t="s">
        <v>59</v>
      </c>
      <c r="I23" s="9">
        <v>2500</v>
      </c>
      <c r="J23" s="8">
        <f t="shared" si="0"/>
        <v>325000</v>
      </c>
      <c r="K23" s="7" t="str">
        <f t="shared" si="1"/>
        <v>In Stock</v>
      </c>
      <c r="L23"/>
      <c r="M23"/>
    </row>
    <row r="24" spans="1:14" x14ac:dyDescent="0.25">
      <c r="A24" s="7" t="s">
        <v>60</v>
      </c>
      <c r="B24" s="7" t="s">
        <v>61</v>
      </c>
      <c r="C24" s="7" t="s">
        <v>20</v>
      </c>
      <c r="D24" s="7" t="s">
        <v>21</v>
      </c>
      <c r="E24" s="8">
        <v>22</v>
      </c>
      <c r="F24" s="8">
        <v>15</v>
      </c>
      <c r="G24" s="8">
        <v>8</v>
      </c>
      <c r="H24" s="7" t="s">
        <v>45</v>
      </c>
      <c r="I24" s="9">
        <v>9000</v>
      </c>
      <c r="J24" s="8">
        <f t="shared" si="0"/>
        <v>198000</v>
      </c>
      <c r="K24" s="7" t="str">
        <f t="shared" si="1"/>
        <v>In Stock</v>
      </c>
      <c r="L24"/>
    </row>
    <row r="25" spans="1:14" x14ac:dyDescent="0.25">
      <c r="A25" s="7" t="s">
        <v>62</v>
      </c>
      <c r="B25" s="7" t="s">
        <v>63</v>
      </c>
      <c r="C25" s="7" t="s">
        <v>25</v>
      </c>
      <c r="D25" s="7" t="s">
        <v>26</v>
      </c>
      <c r="E25" s="8">
        <v>28</v>
      </c>
      <c r="F25" s="8">
        <v>20</v>
      </c>
      <c r="G25" s="8">
        <v>7</v>
      </c>
      <c r="H25" s="7" t="s">
        <v>64</v>
      </c>
      <c r="I25" s="9">
        <v>18000</v>
      </c>
      <c r="J25" s="8">
        <f t="shared" si="0"/>
        <v>504000</v>
      </c>
      <c r="K25" s="7" t="str">
        <f t="shared" si="1"/>
        <v>In Stock</v>
      </c>
    </row>
    <row r="26" spans="1:14" x14ac:dyDescent="0.25">
      <c r="A26" s="7" t="s">
        <v>65</v>
      </c>
      <c r="B26" s="7" t="s">
        <v>66</v>
      </c>
      <c r="C26" s="7" t="s">
        <v>25</v>
      </c>
      <c r="D26" s="7" t="s">
        <v>30</v>
      </c>
      <c r="E26" s="8">
        <v>35</v>
      </c>
      <c r="F26" s="8">
        <v>20</v>
      </c>
      <c r="G26" s="8">
        <v>9</v>
      </c>
      <c r="H26" s="7" t="s">
        <v>27</v>
      </c>
      <c r="I26" s="9">
        <v>12000</v>
      </c>
      <c r="J26" s="8">
        <f t="shared" si="0"/>
        <v>420000</v>
      </c>
      <c r="K26" s="7" t="str">
        <f t="shared" si="1"/>
        <v>In Stock</v>
      </c>
    </row>
    <row r="27" spans="1:14" x14ac:dyDescent="0.25">
      <c r="A27" s="7" t="s">
        <v>67</v>
      </c>
      <c r="B27" s="7" t="s">
        <v>68</v>
      </c>
      <c r="C27" s="7" t="s">
        <v>11</v>
      </c>
      <c r="D27" s="7" t="s">
        <v>12</v>
      </c>
      <c r="E27" s="8">
        <v>50</v>
      </c>
      <c r="F27" s="8">
        <v>25</v>
      </c>
      <c r="G27" s="8">
        <v>18</v>
      </c>
      <c r="H27" s="7" t="s">
        <v>13</v>
      </c>
      <c r="I27" s="9">
        <v>18000</v>
      </c>
      <c r="J27" s="8">
        <f t="shared" si="0"/>
        <v>900000</v>
      </c>
      <c r="K27" s="7" t="str">
        <f t="shared" si="1"/>
        <v>In Stock</v>
      </c>
    </row>
    <row r="28" spans="1:14" x14ac:dyDescent="0.25">
      <c r="A28" s="7" t="s">
        <v>69</v>
      </c>
      <c r="B28" s="7" t="s">
        <v>70</v>
      </c>
      <c r="C28" s="7" t="s">
        <v>11</v>
      </c>
      <c r="D28" s="7" t="s">
        <v>16</v>
      </c>
      <c r="E28" s="8">
        <v>85</v>
      </c>
      <c r="F28" s="8">
        <v>40</v>
      </c>
      <c r="G28" s="8">
        <v>28</v>
      </c>
      <c r="H28" s="7" t="s">
        <v>59</v>
      </c>
      <c r="I28" s="9">
        <v>3500</v>
      </c>
      <c r="J28" s="8">
        <f t="shared" si="0"/>
        <v>297500</v>
      </c>
      <c r="K28" s="7" t="str">
        <f t="shared" si="1"/>
        <v>In Stock</v>
      </c>
    </row>
    <row r="29" spans="1:14" x14ac:dyDescent="0.25">
      <c r="A29" s="7" t="s">
        <v>71</v>
      </c>
      <c r="B29" s="7" t="s">
        <v>72</v>
      </c>
      <c r="C29" s="7" t="s">
        <v>20</v>
      </c>
      <c r="D29" s="7" t="s">
        <v>21</v>
      </c>
      <c r="E29" s="8">
        <v>45</v>
      </c>
      <c r="F29" s="8">
        <v>20</v>
      </c>
      <c r="G29" s="8">
        <v>15</v>
      </c>
      <c r="H29" s="7" t="s">
        <v>22</v>
      </c>
      <c r="I29" s="9">
        <v>4000</v>
      </c>
      <c r="J29" s="8">
        <f t="shared" si="0"/>
        <v>180000</v>
      </c>
      <c r="K29" s="7" t="str">
        <f t="shared" si="1"/>
        <v>In Stock</v>
      </c>
    </row>
    <row r="30" spans="1:14" x14ac:dyDescent="0.25">
      <c r="A30" s="7" t="s">
        <v>73</v>
      </c>
      <c r="B30" s="7" t="s">
        <v>74</v>
      </c>
      <c r="C30" s="7" t="s">
        <v>25</v>
      </c>
      <c r="D30" s="7" t="s">
        <v>26</v>
      </c>
      <c r="E30" s="8">
        <v>32</v>
      </c>
      <c r="F30" s="8">
        <v>20</v>
      </c>
      <c r="G30" s="8">
        <v>8</v>
      </c>
      <c r="H30" s="7" t="s">
        <v>47</v>
      </c>
      <c r="I30" s="9">
        <v>14000</v>
      </c>
      <c r="J30" s="8">
        <f t="shared" si="0"/>
        <v>448000</v>
      </c>
      <c r="K30" s="7" t="str">
        <f t="shared" si="1"/>
        <v>In Stock</v>
      </c>
    </row>
    <row r="31" spans="1:14" x14ac:dyDescent="0.25">
      <c r="A31" s="7" t="s">
        <v>75</v>
      </c>
      <c r="B31" s="7" t="s">
        <v>76</v>
      </c>
      <c r="C31" s="7" t="s">
        <v>25</v>
      </c>
      <c r="D31" s="7" t="s">
        <v>30</v>
      </c>
      <c r="E31" s="8">
        <v>25</v>
      </c>
      <c r="F31" s="8">
        <v>15</v>
      </c>
      <c r="G31" s="8">
        <v>6</v>
      </c>
      <c r="H31" s="7" t="s">
        <v>64</v>
      </c>
      <c r="I31" s="9">
        <v>10000</v>
      </c>
      <c r="J31" s="8">
        <f t="shared" si="0"/>
        <v>250000</v>
      </c>
      <c r="K31" s="7" t="str">
        <f t="shared" si="1"/>
        <v>In Stock</v>
      </c>
    </row>
    <row r="32" spans="1:14" x14ac:dyDescent="0.25">
      <c r="A32" s="7" t="s">
        <v>77</v>
      </c>
      <c r="B32" s="7" t="s">
        <v>10</v>
      </c>
      <c r="C32" s="7" t="s">
        <v>11</v>
      </c>
      <c r="D32" s="7" t="s">
        <v>12</v>
      </c>
      <c r="E32" s="8">
        <v>28</v>
      </c>
      <c r="F32" s="8">
        <v>30</v>
      </c>
      <c r="G32" s="8">
        <v>22</v>
      </c>
      <c r="H32" s="7" t="s">
        <v>13</v>
      </c>
      <c r="I32" s="9">
        <v>54000</v>
      </c>
      <c r="J32" s="8">
        <f t="shared" si="0"/>
        <v>1512000</v>
      </c>
      <c r="K32" s="7" t="str">
        <f t="shared" si="1"/>
        <v>Low Stock</v>
      </c>
    </row>
    <row r="33" spans="1:11" x14ac:dyDescent="0.25">
      <c r="A33" s="7" t="s">
        <v>78</v>
      </c>
      <c r="B33" s="7" t="s">
        <v>15</v>
      </c>
      <c r="C33" s="7" t="s">
        <v>11</v>
      </c>
      <c r="D33" s="7" t="s">
        <v>16</v>
      </c>
      <c r="E33" s="8">
        <v>95</v>
      </c>
      <c r="F33" s="8">
        <v>50</v>
      </c>
      <c r="G33" s="8">
        <v>40</v>
      </c>
      <c r="H33" s="7" t="s">
        <v>17</v>
      </c>
      <c r="I33" s="9">
        <v>23000</v>
      </c>
      <c r="J33" s="8">
        <f t="shared" si="0"/>
        <v>2185000</v>
      </c>
      <c r="K33" s="7" t="str">
        <f t="shared" si="1"/>
        <v>In Stock</v>
      </c>
    </row>
    <row r="34" spans="1:11" x14ac:dyDescent="0.25">
      <c r="A34" s="7" t="s">
        <v>79</v>
      </c>
      <c r="B34" s="7" t="s">
        <v>19</v>
      </c>
      <c r="C34" s="7" t="s">
        <v>20</v>
      </c>
      <c r="D34" s="7" t="s">
        <v>21</v>
      </c>
      <c r="E34" s="8">
        <v>16</v>
      </c>
      <c r="F34" s="8">
        <v>20</v>
      </c>
      <c r="G34" s="8">
        <v>9</v>
      </c>
      <c r="H34" s="7" t="s">
        <v>45</v>
      </c>
      <c r="I34" s="9">
        <v>13500</v>
      </c>
      <c r="J34" s="8">
        <f t="shared" si="0"/>
        <v>216000</v>
      </c>
      <c r="K34" s="7" t="str">
        <f t="shared" si="1"/>
        <v>Low Stock</v>
      </c>
    </row>
    <row r="35" spans="1:11" x14ac:dyDescent="0.25">
      <c r="A35" s="7" t="s">
        <v>80</v>
      </c>
      <c r="B35" s="7" t="s">
        <v>24</v>
      </c>
      <c r="C35" s="7" t="s">
        <v>25</v>
      </c>
      <c r="D35" s="7" t="s">
        <v>26</v>
      </c>
      <c r="E35" s="8">
        <v>125</v>
      </c>
      <c r="F35" s="8">
        <v>50</v>
      </c>
      <c r="G35" s="8">
        <v>22</v>
      </c>
      <c r="H35" s="7" t="s">
        <v>47</v>
      </c>
      <c r="I35" s="9">
        <v>3900</v>
      </c>
      <c r="J35" s="8">
        <f t="shared" si="0"/>
        <v>487500</v>
      </c>
      <c r="K35" s="7" t="str">
        <f t="shared" si="1"/>
        <v>In Stock</v>
      </c>
    </row>
    <row r="36" spans="1:11" x14ac:dyDescent="0.25">
      <c r="A36" s="7" t="s">
        <v>81</v>
      </c>
      <c r="B36" s="7" t="s">
        <v>29</v>
      </c>
      <c r="C36" s="7" t="s">
        <v>25</v>
      </c>
      <c r="D36" s="7" t="s">
        <v>30</v>
      </c>
      <c r="E36" s="8">
        <v>72</v>
      </c>
      <c r="F36" s="8">
        <v>30</v>
      </c>
      <c r="G36" s="8">
        <v>11</v>
      </c>
      <c r="H36" s="7" t="s">
        <v>27</v>
      </c>
      <c r="I36" s="9">
        <v>7800</v>
      </c>
      <c r="J36" s="8">
        <f t="shared" si="0"/>
        <v>561600</v>
      </c>
      <c r="K36" s="7" t="str">
        <f t="shared" si="1"/>
        <v>In Stock</v>
      </c>
    </row>
    <row r="37" spans="1:11" x14ac:dyDescent="0.25">
      <c r="A37" s="7" t="s">
        <v>82</v>
      </c>
      <c r="B37" s="7" t="s">
        <v>32</v>
      </c>
      <c r="C37" s="7" t="s">
        <v>11</v>
      </c>
      <c r="D37" s="7" t="s">
        <v>12</v>
      </c>
      <c r="E37" s="8">
        <v>26</v>
      </c>
      <c r="F37" s="8">
        <v>25</v>
      </c>
      <c r="G37" s="8">
        <v>16</v>
      </c>
      <c r="H37" s="7" t="s">
        <v>13</v>
      </c>
      <c r="I37" s="9">
        <v>16500</v>
      </c>
      <c r="J37" s="8">
        <f t="shared" si="0"/>
        <v>429000</v>
      </c>
      <c r="K37" s="7" t="str">
        <f t="shared" si="1"/>
        <v>In Stock</v>
      </c>
    </row>
    <row r="38" spans="1:11" x14ac:dyDescent="0.25">
      <c r="A38" s="7" t="s">
        <v>83</v>
      </c>
      <c r="B38" s="7" t="s">
        <v>34</v>
      </c>
      <c r="C38" s="7" t="s">
        <v>11</v>
      </c>
      <c r="D38" s="7" t="s">
        <v>16</v>
      </c>
      <c r="E38" s="8">
        <v>155</v>
      </c>
      <c r="F38" s="8">
        <v>60</v>
      </c>
      <c r="G38" s="8">
        <v>48</v>
      </c>
      <c r="H38" s="7" t="s">
        <v>17</v>
      </c>
      <c r="I38" s="9">
        <v>1400</v>
      </c>
      <c r="J38" s="8">
        <f t="shared" si="0"/>
        <v>217000</v>
      </c>
      <c r="K38" s="7" t="str">
        <f t="shared" si="1"/>
        <v>In Stock</v>
      </c>
    </row>
    <row r="39" spans="1:11" x14ac:dyDescent="0.25">
      <c r="A39" s="7" t="s">
        <v>84</v>
      </c>
      <c r="B39" s="7" t="s">
        <v>36</v>
      </c>
      <c r="C39" s="7" t="s">
        <v>11</v>
      </c>
      <c r="D39" s="7" t="s">
        <v>21</v>
      </c>
      <c r="E39" s="8">
        <v>190</v>
      </c>
      <c r="F39" s="8">
        <v>80</v>
      </c>
      <c r="G39" s="8">
        <v>65</v>
      </c>
      <c r="H39" s="7" t="s">
        <v>17</v>
      </c>
      <c r="I39" s="9">
        <v>900</v>
      </c>
      <c r="J39" s="8">
        <f t="shared" si="0"/>
        <v>171000</v>
      </c>
      <c r="K39" s="7" t="str">
        <f t="shared" si="1"/>
        <v>In Stock</v>
      </c>
    </row>
    <row r="40" spans="1:11" x14ac:dyDescent="0.25">
      <c r="A40" s="7" t="s">
        <v>85</v>
      </c>
      <c r="B40" s="7" t="s">
        <v>38</v>
      </c>
      <c r="C40" s="7" t="s">
        <v>25</v>
      </c>
      <c r="D40" s="7" t="s">
        <v>26</v>
      </c>
      <c r="E40" s="8">
        <v>14</v>
      </c>
      <c r="F40" s="8">
        <v>15</v>
      </c>
      <c r="G40" s="8">
        <v>7</v>
      </c>
      <c r="H40" s="7" t="s">
        <v>39</v>
      </c>
      <c r="I40" s="9">
        <v>34000</v>
      </c>
      <c r="J40" s="8">
        <f t="shared" si="0"/>
        <v>476000</v>
      </c>
      <c r="K40" s="7" t="str">
        <f t="shared" si="1"/>
        <v>Low Stock</v>
      </c>
    </row>
    <row r="41" spans="1:11" x14ac:dyDescent="0.25">
      <c r="A41" s="7" t="s">
        <v>86</v>
      </c>
      <c r="B41" s="7" t="s">
        <v>41</v>
      </c>
      <c r="C41" s="7" t="s">
        <v>20</v>
      </c>
      <c r="D41" s="7" t="s">
        <v>30</v>
      </c>
      <c r="E41" s="8">
        <v>10</v>
      </c>
      <c r="F41" s="8">
        <v>10</v>
      </c>
      <c r="G41" s="8">
        <v>4</v>
      </c>
      <c r="H41" s="7" t="s">
        <v>22</v>
      </c>
      <c r="I41" s="9">
        <v>27000</v>
      </c>
      <c r="J41" s="8">
        <f t="shared" si="0"/>
        <v>270000</v>
      </c>
      <c r="K41" s="7" t="str">
        <f t="shared" si="1"/>
        <v>Low Stock</v>
      </c>
    </row>
    <row r="42" spans="1:11" x14ac:dyDescent="0.25">
      <c r="A42" s="7" t="s">
        <v>87</v>
      </c>
      <c r="B42" s="7" t="s">
        <v>55</v>
      </c>
      <c r="C42" s="7" t="s">
        <v>11</v>
      </c>
      <c r="D42" s="7" t="s">
        <v>12</v>
      </c>
      <c r="E42" s="8">
        <v>82</v>
      </c>
      <c r="F42" s="8">
        <v>35</v>
      </c>
      <c r="G42" s="8">
        <v>34</v>
      </c>
      <c r="H42" s="7" t="s">
        <v>56</v>
      </c>
      <c r="I42" s="9">
        <v>5500</v>
      </c>
      <c r="J42" s="8">
        <f t="shared" si="0"/>
        <v>451000</v>
      </c>
      <c r="K42" s="7" t="str">
        <f t="shared" si="1"/>
        <v>In Stock</v>
      </c>
    </row>
    <row r="43" spans="1:11" x14ac:dyDescent="0.25">
      <c r="A43" s="7" t="s">
        <v>88</v>
      </c>
      <c r="B43" s="7" t="s">
        <v>58</v>
      </c>
      <c r="C43" s="7" t="s">
        <v>11</v>
      </c>
      <c r="D43" s="7" t="s">
        <v>16</v>
      </c>
      <c r="E43" s="8">
        <v>145</v>
      </c>
      <c r="F43" s="8">
        <v>50</v>
      </c>
      <c r="G43" s="8">
        <v>45</v>
      </c>
      <c r="H43" s="7" t="s">
        <v>59</v>
      </c>
      <c r="I43" s="9">
        <v>2800</v>
      </c>
      <c r="J43" s="8">
        <f t="shared" si="0"/>
        <v>406000</v>
      </c>
      <c r="K43" s="7" t="str">
        <f t="shared" si="1"/>
        <v>In Stock</v>
      </c>
    </row>
    <row r="44" spans="1:11" x14ac:dyDescent="0.25">
      <c r="A44" s="7" t="s">
        <v>89</v>
      </c>
      <c r="B44" s="7" t="s">
        <v>61</v>
      </c>
      <c r="C44" s="7" t="s">
        <v>20</v>
      </c>
      <c r="D44" s="7" t="s">
        <v>21</v>
      </c>
      <c r="E44" s="8">
        <v>20</v>
      </c>
      <c r="F44" s="8">
        <v>15</v>
      </c>
      <c r="G44" s="8">
        <v>10</v>
      </c>
      <c r="H44" s="7" t="s">
        <v>45</v>
      </c>
      <c r="I44" s="9">
        <v>9500</v>
      </c>
      <c r="J44" s="8">
        <f t="shared" si="0"/>
        <v>190000</v>
      </c>
      <c r="K44" s="7" t="str">
        <f t="shared" si="1"/>
        <v>In Stock</v>
      </c>
    </row>
    <row r="45" spans="1:11" x14ac:dyDescent="0.25">
      <c r="A45" s="7" t="s">
        <v>90</v>
      </c>
      <c r="B45" s="7" t="s">
        <v>63</v>
      </c>
      <c r="C45" s="7" t="s">
        <v>25</v>
      </c>
      <c r="D45" s="7" t="s">
        <v>26</v>
      </c>
      <c r="E45" s="8">
        <v>30</v>
      </c>
      <c r="F45" s="8">
        <v>20</v>
      </c>
      <c r="G45" s="8">
        <v>8</v>
      </c>
      <c r="H45" s="7" t="s">
        <v>64</v>
      </c>
      <c r="I45" s="9">
        <v>19000</v>
      </c>
      <c r="J45" s="8">
        <f t="shared" si="0"/>
        <v>570000</v>
      </c>
      <c r="K45" s="7" t="str">
        <f t="shared" si="1"/>
        <v>In Stock</v>
      </c>
    </row>
    <row r="46" spans="1:11" x14ac:dyDescent="0.25">
      <c r="A46" s="7" t="s">
        <v>91</v>
      </c>
      <c r="B46" s="7" t="s">
        <v>66</v>
      </c>
      <c r="C46" s="7" t="s">
        <v>25</v>
      </c>
      <c r="D46" s="7" t="s">
        <v>30</v>
      </c>
      <c r="E46" s="8">
        <v>38</v>
      </c>
      <c r="F46" s="8">
        <v>20</v>
      </c>
      <c r="G46" s="8">
        <v>10</v>
      </c>
      <c r="H46" s="7" t="s">
        <v>27</v>
      </c>
      <c r="I46" s="9">
        <v>12500</v>
      </c>
      <c r="J46" s="8">
        <f t="shared" si="0"/>
        <v>475000</v>
      </c>
      <c r="K46" s="7" t="str">
        <f t="shared" si="1"/>
        <v>In Stock</v>
      </c>
    </row>
    <row r="47" spans="1:11" x14ac:dyDescent="0.25">
      <c r="A47" s="7" t="s">
        <v>92</v>
      </c>
      <c r="B47" s="7" t="s">
        <v>68</v>
      </c>
      <c r="C47" s="7" t="s">
        <v>11</v>
      </c>
      <c r="D47" s="7" t="s">
        <v>12</v>
      </c>
      <c r="E47" s="8">
        <v>55</v>
      </c>
      <c r="F47" s="8">
        <v>25</v>
      </c>
      <c r="G47" s="8">
        <v>20</v>
      </c>
      <c r="H47" s="7" t="s">
        <v>13</v>
      </c>
      <c r="I47" s="9">
        <v>19000</v>
      </c>
      <c r="J47" s="8">
        <f t="shared" si="0"/>
        <v>1045000</v>
      </c>
      <c r="K47" s="7" t="str">
        <f t="shared" si="1"/>
        <v>In Stock</v>
      </c>
    </row>
    <row r="48" spans="1:11" x14ac:dyDescent="0.25">
      <c r="A48" s="7" t="s">
        <v>93</v>
      </c>
      <c r="B48" s="7" t="s">
        <v>70</v>
      </c>
      <c r="C48" s="7" t="s">
        <v>11</v>
      </c>
      <c r="D48" s="7" t="s">
        <v>16</v>
      </c>
      <c r="E48" s="8">
        <v>90</v>
      </c>
      <c r="F48" s="8">
        <v>40</v>
      </c>
      <c r="G48" s="8">
        <v>30</v>
      </c>
      <c r="H48" s="7" t="s">
        <v>59</v>
      </c>
      <c r="I48" s="9">
        <v>3800</v>
      </c>
      <c r="J48" s="8">
        <f t="shared" si="0"/>
        <v>342000</v>
      </c>
      <c r="K48" s="7" t="str">
        <f t="shared" si="1"/>
        <v>In Stock</v>
      </c>
    </row>
    <row r="49" spans="1:11" x14ac:dyDescent="0.25">
      <c r="A49" s="7" t="s">
        <v>94</v>
      </c>
      <c r="B49" s="7" t="s">
        <v>72</v>
      </c>
      <c r="C49" s="7" t="s">
        <v>20</v>
      </c>
      <c r="D49" s="7" t="s">
        <v>21</v>
      </c>
      <c r="E49" s="8">
        <v>48</v>
      </c>
      <c r="F49" s="8">
        <v>20</v>
      </c>
      <c r="G49" s="8">
        <v>18</v>
      </c>
      <c r="H49" s="7" t="s">
        <v>22</v>
      </c>
      <c r="I49" s="9">
        <v>4200</v>
      </c>
      <c r="J49" s="8">
        <f t="shared" si="0"/>
        <v>201600</v>
      </c>
      <c r="K49" s="7" t="str">
        <f t="shared" si="1"/>
        <v>In Stock</v>
      </c>
    </row>
    <row r="50" spans="1:11" x14ac:dyDescent="0.25">
      <c r="A50" s="7" t="s">
        <v>95</v>
      </c>
      <c r="B50" s="7" t="s">
        <v>74</v>
      </c>
      <c r="C50" s="7" t="s">
        <v>25</v>
      </c>
      <c r="D50" s="7" t="s">
        <v>26</v>
      </c>
      <c r="E50" s="8">
        <v>35</v>
      </c>
      <c r="F50" s="8">
        <v>20</v>
      </c>
      <c r="G50" s="8">
        <v>9</v>
      </c>
      <c r="H50" s="7" t="s">
        <v>47</v>
      </c>
      <c r="I50" s="9">
        <v>15000</v>
      </c>
      <c r="J50" s="8">
        <f t="shared" si="0"/>
        <v>525000</v>
      </c>
      <c r="K50" s="7" t="str">
        <f t="shared" si="1"/>
        <v>In Stock</v>
      </c>
    </row>
    <row r="51" spans="1:11" x14ac:dyDescent="0.25">
      <c r="A51" s="7" t="s">
        <v>96</v>
      </c>
      <c r="B51" s="7" t="s">
        <v>76</v>
      </c>
      <c r="C51" s="7" t="s">
        <v>25</v>
      </c>
      <c r="D51" s="7" t="s">
        <v>30</v>
      </c>
      <c r="E51" s="8">
        <v>22</v>
      </c>
      <c r="F51" s="8">
        <v>15</v>
      </c>
      <c r="G51" s="8">
        <v>7</v>
      </c>
      <c r="H51" s="7" t="s">
        <v>64</v>
      </c>
      <c r="I51" s="9">
        <v>11000</v>
      </c>
      <c r="J51" s="8">
        <f t="shared" si="0"/>
        <v>242000</v>
      </c>
      <c r="K51" s="7" t="str">
        <f t="shared" si="1"/>
        <v>In Stock</v>
      </c>
    </row>
    <row r="52" spans="1:11" x14ac:dyDescent="0.25">
      <c r="A52" s="7" t="s">
        <v>97</v>
      </c>
      <c r="B52" s="7" t="s">
        <v>10</v>
      </c>
      <c r="C52" s="7" t="s">
        <v>11</v>
      </c>
      <c r="D52" s="7" t="s">
        <v>12</v>
      </c>
      <c r="E52" s="8">
        <v>24</v>
      </c>
      <c r="F52" s="8">
        <v>30</v>
      </c>
      <c r="G52" s="8">
        <v>24</v>
      </c>
      <c r="H52" s="7" t="s">
        <v>13</v>
      </c>
      <c r="I52" s="9">
        <v>56000</v>
      </c>
      <c r="J52" s="8">
        <f t="shared" si="0"/>
        <v>1344000</v>
      </c>
      <c r="K52" s="7" t="str">
        <f t="shared" si="1"/>
        <v>Low Stock</v>
      </c>
    </row>
    <row r="53" spans="1:11" x14ac:dyDescent="0.25">
      <c r="A53" s="7" t="s">
        <v>98</v>
      </c>
      <c r="B53" s="7" t="s">
        <v>15</v>
      </c>
      <c r="C53" s="7" t="s">
        <v>11</v>
      </c>
      <c r="D53" s="7" t="s">
        <v>16</v>
      </c>
      <c r="E53" s="8">
        <v>100</v>
      </c>
      <c r="F53" s="8">
        <v>50</v>
      </c>
      <c r="G53" s="8">
        <v>42</v>
      </c>
      <c r="H53" s="7" t="s">
        <v>17</v>
      </c>
      <c r="I53" s="9">
        <v>24000</v>
      </c>
      <c r="J53" s="8">
        <f t="shared" si="0"/>
        <v>2400000</v>
      </c>
      <c r="K53" s="7" t="str">
        <f t="shared" si="1"/>
        <v>In Stock</v>
      </c>
    </row>
    <row r="54" spans="1:11" x14ac:dyDescent="0.25">
      <c r="A54" s="7" t="s">
        <v>99</v>
      </c>
      <c r="B54" s="7" t="s">
        <v>19</v>
      </c>
      <c r="C54" s="7" t="s">
        <v>20</v>
      </c>
      <c r="D54" s="7" t="s">
        <v>21</v>
      </c>
      <c r="E54" s="8">
        <v>14</v>
      </c>
      <c r="F54" s="8">
        <v>20</v>
      </c>
      <c r="G54" s="8">
        <v>11</v>
      </c>
      <c r="H54" s="7" t="s">
        <v>45</v>
      </c>
      <c r="I54" s="9">
        <v>14000</v>
      </c>
      <c r="J54" s="8">
        <f t="shared" si="0"/>
        <v>196000</v>
      </c>
      <c r="K54" s="7" t="str">
        <f t="shared" si="1"/>
        <v>Low Stock</v>
      </c>
    </row>
    <row r="55" spans="1:11" x14ac:dyDescent="0.25">
      <c r="A55" s="7" t="s">
        <v>100</v>
      </c>
      <c r="B55" s="7" t="s">
        <v>24</v>
      </c>
      <c r="C55" s="7" t="s">
        <v>25</v>
      </c>
      <c r="D55" s="7" t="s">
        <v>26</v>
      </c>
      <c r="E55" s="8">
        <v>130</v>
      </c>
      <c r="F55" s="8">
        <v>50</v>
      </c>
      <c r="G55" s="8">
        <v>25</v>
      </c>
      <c r="H55" s="7" t="s">
        <v>47</v>
      </c>
      <c r="I55" s="9">
        <v>4000</v>
      </c>
      <c r="J55" s="8">
        <f t="shared" si="0"/>
        <v>520000</v>
      </c>
      <c r="K55" s="7" t="str">
        <f t="shared" si="1"/>
        <v>In Stock</v>
      </c>
    </row>
    <row r="56" spans="1:11" x14ac:dyDescent="0.25">
      <c r="A56" s="7" t="s">
        <v>101</v>
      </c>
      <c r="B56" s="7" t="s">
        <v>29</v>
      </c>
      <c r="C56" s="7" t="s">
        <v>25</v>
      </c>
      <c r="D56" s="7" t="s">
        <v>30</v>
      </c>
      <c r="E56" s="8">
        <v>75</v>
      </c>
      <c r="F56" s="8">
        <v>30</v>
      </c>
      <c r="G56" s="8">
        <v>13</v>
      </c>
      <c r="H56" s="7" t="s">
        <v>27</v>
      </c>
      <c r="I56" s="9">
        <v>8000</v>
      </c>
      <c r="J56" s="8">
        <f t="shared" si="0"/>
        <v>600000</v>
      </c>
      <c r="K56" s="7" t="str">
        <f t="shared" si="1"/>
        <v>In Stock</v>
      </c>
    </row>
    <row r="57" spans="1:11" x14ac:dyDescent="0.25">
      <c r="A57" s="7" t="s">
        <v>102</v>
      </c>
      <c r="B57" s="7" t="s">
        <v>32</v>
      </c>
      <c r="C57" s="7" t="s">
        <v>11</v>
      </c>
      <c r="D57" s="7" t="s">
        <v>12</v>
      </c>
      <c r="E57" s="8">
        <v>22</v>
      </c>
      <c r="F57" s="8">
        <v>25</v>
      </c>
      <c r="G57" s="8">
        <v>18</v>
      </c>
      <c r="H57" s="7" t="s">
        <v>13</v>
      </c>
      <c r="I57" s="9">
        <v>17000</v>
      </c>
      <c r="J57" s="8">
        <f t="shared" si="0"/>
        <v>374000</v>
      </c>
      <c r="K57" s="7" t="str">
        <f t="shared" si="1"/>
        <v>Low Stock</v>
      </c>
    </row>
    <row r="58" spans="1:11" x14ac:dyDescent="0.25">
      <c r="A58" s="7" t="s">
        <v>103</v>
      </c>
      <c r="B58" s="7" t="s">
        <v>34</v>
      </c>
      <c r="C58" s="7" t="s">
        <v>11</v>
      </c>
      <c r="D58" s="7" t="s">
        <v>16</v>
      </c>
      <c r="E58" s="8">
        <v>160</v>
      </c>
      <c r="F58" s="8">
        <v>60</v>
      </c>
      <c r="G58" s="8">
        <v>50</v>
      </c>
      <c r="H58" s="7" t="s">
        <v>17</v>
      </c>
      <c r="I58" s="9">
        <v>1500</v>
      </c>
      <c r="J58" s="8">
        <f t="shared" si="0"/>
        <v>240000</v>
      </c>
      <c r="K58" s="7" t="str">
        <f t="shared" si="1"/>
        <v>In Stock</v>
      </c>
    </row>
    <row r="59" spans="1:11" x14ac:dyDescent="0.25">
      <c r="A59" s="7" t="s">
        <v>104</v>
      </c>
      <c r="B59" s="7" t="s">
        <v>36</v>
      </c>
      <c r="C59" s="7" t="s">
        <v>11</v>
      </c>
      <c r="D59" s="7" t="s">
        <v>21</v>
      </c>
      <c r="E59" s="8">
        <v>200</v>
      </c>
      <c r="F59" s="8">
        <v>80</v>
      </c>
      <c r="G59" s="8">
        <v>70</v>
      </c>
      <c r="H59" s="7" t="s">
        <v>17</v>
      </c>
      <c r="I59" s="9">
        <v>950</v>
      </c>
      <c r="J59" s="8">
        <f t="shared" si="0"/>
        <v>190000</v>
      </c>
      <c r="K59" s="7" t="str">
        <f t="shared" si="1"/>
        <v>In Stock</v>
      </c>
    </row>
    <row r="60" spans="1:11" x14ac:dyDescent="0.25">
      <c r="A60" s="7" t="s">
        <v>105</v>
      </c>
      <c r="B60" s="7" t="s">
        <v>38</v>
      </c>
      <c r="C60" s="7" t="s">
        <v>25</v>
      </c>
      <c r="D60" s="7" t="s">
        <v>26</v>
      </c>
      <c r="E60" s="8">
        <v>12</v>
      </c>
      <c r="F60" s="8">
        <v>15</v>
      </c>
      <c r="G60" s="8">
        <v>8</v>
      </c>
      <c r="H60" s="7" t="s">
        <v>39</v>
      </c>
      <c r="I60" s="9">
        <v>35000</v>
      </c>
      <c r="J60" s="8">
        <f t="shared" si="0"/>
        <v>420000</v>
      </c>
      <c r="K60" s="7" t="str">
        <f t="shared" si="1"/>
        <v>Low Stock</v>
      </c>
    </row>
    <row r="61" spans="1:11" x14ac:dyDescent="0.25">
      <c r="A61" s="7" t="s">
        <v>106</v>
      </c>
      <c r="B61" s="7" t="s">
        <v>41</v>
      </c>
      <c r="C61" s="7" t="s">
        <v>20</v>
      </c>
      <c r="D61" s="7" t="s">
        <v>30</v>
      </c>
      <c r="E61" s="8">
        <v>8</v>
      </c>
      <c r="F61" s="8">
        <v>10</v>
      </c>
      <c r="G61" s="8">
        <v>5</v>
      </c>
      <c r="H61" s="7" t="s">
        <v>22</v>
      </c>
      <c r="I61" s="9">
        <v>28000</v>
      </c>
      <c r="J61" s="8">
        <f t="shared" si="0"/>
        <v>224000</v>
      </c>
      <c r="K61" s="7" t="str">
        <f t="shared" si="1"/>
        <v>Low Stock</v>
      </c>
    </row>
    <row r="62" spans="1:11" x14ac:dyDescent="0.25">
      <c r="A62" s="7" t="s">
        <v>107</v>
      </c>
      <c r="B62" s="7" t="s">
        <v>55</v>
      </c>
      <c r="C62" s="7" t="s">
        <v>11</v>
      </c>
      <c r="D62" s="7" t="s">
        <v>12</v>
      </c>
      <c r="E62" s="8">
        <v>88</v>
      </c>
      <c r="F62" s="8">
        <v>35</v>
      </c>
      <c r="G62" s="8">
        <v>36</v>
      </c>
      <c r="H62" s="7" t="s">
        <v>56</v>
      </c>
      <c r="I62" s="9">
        <v>5800</v>
      </c>
      <c r="J62" s="8">
        <f t="shared" si="0"/>
        <v>510400</v>
      </c>
      <c r="K62" s="7" t="str">
        <f t="shared" si="1"/>
        <v>In Stock</v>
      </c>
    </row>
    <row r="63" spans="1:11" x14ac:dyDescent="0.25">
      <c r="A63" s="7" t="s">
        <v>108</v>
      </c>
      <c r="B63" s="7" t="s">
        <v>58</v>
      </c>
      <c r="C63" s="7" t="s">
        <v>11</v>
      </c>
      <c r="D63" s="7" t="s">
        <v>16</v>
      </c>
      <c r="E63" s="8">
        <v>150</v>
      </c>
      <c r="F63" s="8">
        <v>50</v>
      </c>
      <c r="G63" s="8">
        <v>48</v>
      </c>
      <c r="H63" s="7" t="s">
        <v>59</v>
      </c>
      <c r="I63" s="9">
        <v>3000</v>
      </c>
      <c r="J63" s="8">
        <f t="shared" si="0"/>
        <v>450000</v>
      </c>
      <c r="K63" s="7" t="str">
        <f t="shared" si="1"/>
        <v>In Stock</v>
      </c>
    </row>
    <row r="64" spans="1:11" x14ac:dyDescent="0.25">
      <c r="A64" s="7" t="s">
        <v>109</v>
      </c>
      <c r="B64" s="7" t="s">
        <v>61</v>
      </c>
      <c r="C64" s="7" t="s">
        <v>20</v>
      </c>
      <c r="D64" s="7" t="s">
        <v>21</v>
      </c>
      <c r="E64" s="8">
        <v>18</v>
      </c>
      <c r="F64" s="8">
        <v>15</v>
      </c>
      <c r="G64" s="8">
        <v>12</v>
      </c>
      <c r="H64" s="7" t="s">
        <v>45</v>
      </c>
      <c r="I64" s="9">
        <v>9800</v>
      </c>
      <c r="J64" s="8">
        <f t="shared" si="0"/>
        <v>176400</v>
      </c>
      <c r="K64" s="7" t="str">
        <f t="shared" si="1"/>
        <v>In Stock</v>
      </c>
    </row>
    <row r="65" spans="1:11" x14ac:dyDescent="0.25">
      <c r="A65" s="7" t="s">
        <v>110</v>
      </c>
      <c r="B65" s="7" t="s">
        <v>63</v>
      </c>
      <c r="C65" s="7" t="s">
        <v>25</v>
      </c>
      <c r="D65" s="7" t="s">
        <v>26</v>
      </c>
      <c r="E65" s="8">
        <v>34</v>
      </c>
      <c r="F65" s="8">
        <v>20</v>
      </c>
      <c r="G65" s="8">
        <v>10</v>
      </c>
      <c r="H65" s="7" t="s">
        <v>64</v>
      </c>
      <c r="I65" s="9">
        <v>20000</v>
      </c>
      <c r="J65" s="8">
        <f t="shared" si="0"/>
        <v>680000</v>
      </c>
      <c r="K65" s="7" t="str">
        <f t="shared" si="1"/>
        <v>In Stock</v>
      </c>
    </row>
    <row r="66" spans="1:11" x14ac:dyDescent="0.25">
      <c r="A66" s="7" t="s">
        <v>111</v>
      </c>
      <c r="B66" s="7" t="s">
        <v>66</v>
      </c>
      <c r="C66" s="7" t="s">
        <v>25</v>
      </c>
      <c r="D66" s="7" t="s">
        <v>30</v>
      </c>
      <c r="E66" s="8">
        <v>42</v>
      </c>
      <c r="F66" s="8">
        <v>20</v>
      </c>
      <c r="G66" s="8">
        <v>12</v>
      </c>
      <c r="H66" s="7" t="s">
        <v>27</v>
      </c>
      <c r="I66" s="9">
        <v>13000</v>
      </c>
      <c r="J66" s="8">
        <f t="shared" si="0"/>
        <v>546000</v>
      </c>
      <c r="K66" s="7" t="str">
        <f t="shared" si="1"/>
        <v>In Stock</v>
      </c>
    </row>
    <row r="67" spans="1:11" x14ac:dyDescent="0.25">
      <c r="A67" s="7" t="s">
        <v>112</v>
      </c>
      <c r="B67" s="7" t="s">
        <v>68</v>
      </c>
      <c r="C67" s="7" t="s">
        <v>11</v>
      </c>
      <c r="D67" s="7" t="s">
        <v>12</v>
      </c>
      <c r="E67" s="8">
        <v>60</v>
      </c>
      <c r="F67" s="8">
        <v>25</v>
      </c>
      <c r="G67" s="8">
        <v>22</v>
      </c>
      <c r="H67" s="7" t="s">
        <v>13</v>
      </c>
      <c r="I67" s="9">
        <v>20000</v>
      </c>
      <c r="J67" s="8">
        <f t="shared" ref="J67:J91" si="2">E67*I67</f>
        <v>1200000</v>
      </c>
      <c r="K67" s="7" t="str">
        <f t="shared" ref="K67:K91" si="3">IF(E67&lt;=F67,"Low Stock","In Stock")</f>
        <v>In Stock</v>
      </c>
    </row>
    <row r="68" spans="1:11" x14ac:dyDescent="0.25">
      <c r="A68" s="7" t="s">
        <v>113</v>
      </c>
      <c r="B68" s="7" t="s">
        <v>70</v>
      </c>
      <c r="C68" s="7" t="s">
        <v>11</v>
      </c>
      <c r="D68" s="7" t="s">
        <v>16</v>
      </c>
      <c r="E68" s="8">
        <v>95</v>
      </c>
      <c r="F68" s="8">
        <v>40</v>
      </c>
      <c r="G68" s="8">
        <v>32</v>
      </c>
      <c r="H68" s="7" t="s">
        <v>59</v>
      </c>
      <c r="I68" s="9">
        <v>4000</v>
      </c>
      <c r="J68" s="8">
        <f t="shared" si="2"/>
        <v>380000</v>
      </c>
      <c r="K68" s="7" t="str">
        <f t="shared" si="3"/>
        <v>In Stock</v>
      </c>
    </row>
    <row r="69" spans="1:11" x14ac:dyDescent="0.25">
      <c r="A69" s="7" t="s">
        <v>114</v>
      </c>
      <c r="B69" s="7" t="s">
        <v>72</v>
      </c>
      <c r="C69" s="7" t="s">
        <v>20</v>
      </c>
      <c r="D69" s="7" t="s">
        <v>21</v>
      </c>
      <c r="E69" s="8">
        <v>52</v>
      </c>
      <c r="F69" s="8">
        <v>20</v>
      </c>
      <c r="G69" s="8">
        <v>20</v>
      </c>
      <c r="H69" s="7" t="s">
        <v>22</v>
      </c>
      <c r="I69" s="9">
        <v>4500</v>
      </c>
      <c r="J69" s="8">
        <f t="shared" si="2"/>
        <v>234000</v>
      </c>
      <c r="K69" s="7" t="str">
        <f t="shared" si="3"/>
        <v>In Stock</v>
      </c>
    </row>
    <row r="70" spans="1:11" x14ac:dyDescent="0.25">
      <c r="A70" s="7" t="s">
        <v>115</v>
      </c>
      <c r="B70" s="7" t="s">
        <v>74</v>
      </c>
      <c r="C70" s="7" t="s">
        <v>25</v>
      </c>
      <c r="D70" s="7" t="s">
        <v>26</v>
      </c>
      <c r="E70" s="8">
        <v>38</v>
      </c>
      <c r="F70" s="8">
        <v>20</v>
      </c>
      <c r="G70" s="8">
        <v>10</v>
      </c>
      <c r="H70" s="7" t="s">
        <v>47</v>
      </c>
      <c r="I70" s="9">
        <v>15500</v>
      </c>
      <c r="J70" s="8">
        <f t="shared" si="2"/>
        <v>589000</v>
      </c>
      <c r="K70" s="7" t="str">
        <f t="shared" si="3"/>
        <v>In Stock</v>
      </c>
    </row>
    <row r="71" spans="1:11" x14ac:dyDescent="0.25">
      <c r="A71" s="7" t="s">
        <v>116</v>
      </c>
      <c r="B71" s="7" t="s">
        <v>76</v>
      </c>
      <c r="C71" s="7" t="s">
        <v>25</v>
      </c>
      <c r="D71" s="7" t="s">
        <v>30</v>
      </c>
      <c r="E71" s="8">
        <v>20</v>
      </c>
      <c r="F71" s="8">
        <v>15</v>
      </c>
      <c r="G71" s="8">
        <v>8</v>
      </c>
      <c r="H71" s="7" t="s">
        <v>64</v>
      </c>
      <c r="I71" s="9">
        <v>12000</v>
      </c>
      <c r="J71" s="8">
        <f t="shared" si="2"/>
        <v>240000</v>
      </c>
      <c r="K71" s="7" t="str">
        <f t="shared" si="3"/>
        <v>In Stock</v>
      </c>
    </row>
    <row r="72" spans="1:11" x14ac:dyDescent="0.25">
      <c r="A72" s="7" t="s">
        <v>117</v>
      </c>
      <c r="B72" s="7" t="s">
        <v>10</v>
      </c>
      <c r="C72" s="7" t="s">
        <v>11</v>
      </c>
      <c r="D72" s="7" t="s">
        <v>12</v>
      </c>
      <c r="E72" s="8">
        <v>20</v>
      </c>
      <c r="F72" s="8">
        <v>30</v>
      </c>
      <c r="G72" s="8">
        <v>26</v>
      </c>
      <c r="H72" s="7" t="s">
        <v>13</v>
      </c>
      <c r="I72" s="9">
        <v>58000</v>
      </c>
      <c r="J72" s="8">
        <f t="shared" si="2"/>
        <v>1160000</v>
      </c>
      <c r="K72" s="7" t="str">
        <f t="shared" si="3"/>
        <v>Low Stock</v>
      </c>
    </row>
    <row r="73" spans="1:11" x14ac:dyDescent="0.25">
      <c r="A73" s="7" t="s">
        <v>118</v>
      </c>
      <c r="B73" s="7" t="s">
        <v>15</v>
      </c>
      <c r="C73" s="7" t="s">
        <v>11</v>
      </c>
      <c r="D73" s="7" t="s">
        <v>16</v>
      </c>
      <c r="E73" s="8">
        <v>105</v>
      </c>
      <c r="F73" s="8">
        <v>50</v>
      </c>
      <c r="G73" s="8">
        <v>45</v>
      </c>
      <c r="H73" s="7" t="s">
        <v>17</v>
      </c>
      <c r="I73" s="9">
        <v>25000</v>
      </c>
      <c r="J73" s="8">
        <f t="shared" si="2"/>
        <v>2625000</v>
      </c>
      <c r="K73" s="7" t="str">
        <f t="shared" si="3"/>
        <v>In Stock</v>
      </c>
    </row>
    <row r="74" spans="1:11" x14ac:dyDescent="0.25">
      <c r="A74" s="7" t="s">
        <v>119</v>
      </c>
      <c r="B74" s="7" t="s">
        <v>19</v>
      </c>
      <c r="C74" s="7" t="s">
        <v>20</v>
      </c>
      <c r="D74" s="7" t="s">
        <v>21</v>
      </c>
      <c r="E74" s="8">
        <v>12</v>
      </c>
      <c r="F74" s="8">
        <v>20</v>
      </c>
      <c r="G74" s="8">
        <v>12</v>
      </c>
      <c r="H74" s="7" t="s">
        <v>45</v>
      </c>
      <c r="I74" s="9">
        <v>14500</v>
      </c>
      <c r="J74" s="8">
        <f t="shared" si="2"/>
        <v>174000</v>
      </c>
      <c r="K74" s="7" t="str">
        <f t="shared" si="3"/>
        <v>Low Stock</v>
      </c>
    </row>
    <row r="75" spans="1:11" x14ac:dyDescent="0.25">
      <c r="A75" s="7" t="s">
        <v>120</v>
      </c>
      <c r="B75" s="7" t="s">
        <v>24</v>
      </c>
      <c r="C75" s="7" t="s">
        <v>25</v>
      </c>
      <c r="D75" s="7" t="s">
        <v>26</v>
      </c>
      <c r="E75" s="8">
        <v>135</v>
      </c>
      <c r="F75" s="8">
        <v>50</v>
      </c>
      <c r="G75" s="8">
        <v>28</v>
      </c>
      <c r="H75" s="7" t="s">
        <v>47</v>
      </c>
      <c r="I75" s="9">
        <v>4200</v>
      </c>
      <c r="J75" s="8">
        <f t="shared" si="2"/>
        <v>567000</v>
      </c>
      <c r="K75" s="7" t="str">
        <f t="shared" si="3"/>
        <v>In Stock</v>
      </c>
    </row>
    <row r="76" spans="1:11" x14ac:dyDescent="0.25">
      <c r="A76" s="7" t="s">
        <v>121</v>
      </c>
      <c r="B76" s="7" t="s">
        <v>29</v>
      </c>
      <c r="C76" s="7" t="s">
        <v>25</v>
      </c>
      <c r="D76" s="7" t="s">
        <v>30</v>
      </c>
      <c r="E76" s="8">
        <v>78</v>
      </c>
      <c r="F76" s="8">
        <v>30</v>
      </c>
      <c r="G76" s="8">
        <v>15</v>
      </c>
      <c r="H76" s="7" t="s">
        <v>27</v>
      </c>
      <c r="I76" s="9">
        <v>8500</v>
      </c>
      <c r="J76" s="8">
        <f t="shared" si="2"/>
        <v>663000</v>
      </c>
      <c r="K76" s="7" t="str">
        <f t="shared" si="3"/>
        <v>In Stock</v>
      </c>
    </row>
    <row r="77" spans="1:11" x14ac:dyDescent="0.25">
      <c r="A77" s="7" t="s">
        <v>122</v>
      </c>
      <c r="B77" s="7" t="s">
        <v>32</v>
      </c>
      <c r="C77" s="7" t="s">
        <v>11</v>
      </c>
      <c r="D77" s="7" t="s">
        <v>12</v>
      </c>
      <c r="E77" s="8">
        <v>18</v>
      </c>
      <c r="F77" s="8">
        <v>25</v>
      </c>
      <c r="G77" s="8">
        <v>20</v>
      </c>
      <c r="H77" s="7" t="s">
        <v>13</v>
      </c>
      <c r="I77" s="9">
        <v>18000</v>
      </c>
      <c r="J77" s="8">
        <f t="shared" si="2"/>
        <v>324000</v>
      </c>
      <c r="K77" s="7" t="str">
        <f t="shared" si="3"/>
        <v>Low Stock</v>
      </c>
    </row>
    <row r="78" spans="1:11" x14ac:dyDescent="0.25">
      <c r="A78" s="7" t="s">
        <v>123</v>
      </c>
      <c r="B78" s="7" t="s">
        <v>34</v>
      </c>
      <c r="C78" s="7" t="s">
        <v>11</v>
      </c>
      <c r="D78" s="7" t="s">
        <v>16</v>
      </c>
      <c r="E78" s="8">
        <v>165</v>
      </c>
      <c r="F78" s="8">
        <v>60</v>
      </c>
      <c r="G78" s="8">
        <v>55</v>
      </c>
      <c r="H78" s="7" t="s">
        <v>17</v>
      </c>
      <c r="I78" s="9">
        <v>1600</v>
      </c>
      <c r="J78" s="8">
        <f t="shared" si="2"/>
        <v>264000</v>
      </c>
      <c r="K78" s="7" t="str">
        <f t="shared" si="3"/>
        <v>In Stock</v>
      </c>
    </row>
    <row r="79" spans="1:11" x14ac:dyDescent="0.25">
      <c r="A79" s="7" t="s">
        <v>124</v>
      </c>
      <c r="B79" s="7" t="s">
        <v>36</v>
      </c>
      <c r="C79" s="7" t="s">
        <v>11</v>
      </c>
      <c r="D79" s="7" t="s">
        <v>21</v>
      </c>
      <c r="E79" s="8">
        <v>210</v>
      </c>
      <c r="F79" s="8">
        <v>80</v>
      </c>
      <c r="G79" s="8">
        <v>75</v>
      </c>
      <c r="H79" s="7" t="s">
        <v>17</v>
      </c>
      <c r="I79" s="9">
        <v>1000</v>
      </c>
      <c r="J79" s="8">
        <f t="shared" si="2"/>
        <v>210000</v>
      </c>
      <c r="K79" s="7" t="str">
        <f t="shared" si="3"/>
        <v>In Stock</v>
      </c>
    </row>
    <row r="80" spans="1:11" x14ac:dyDescent="0.25">
      <c r="A80" s="7" t="s">
        <v>125</v>
      </c>
      <c r="B80" s="7" t="s">
        <v>38</v>
      </c>
      <c r="C80" s="7" t="s">
        <v>25</v>
      </c>
      <c r="D80" s="7" t="s">
        <v>26</v>
      </c>
      <c r="E80" s="8">
        <v>10</v>
      </c>
      <c r="F80" s="8">
        <v>15</v>
      </c>
      <c r="G80" s="8">
        <v>9</v>
      </c>
      <c r="H80" s="7" t="s">
        <v>39</v>
      </c>
      <c r="I80" s="9">
        <v>36000</v>
      </c>
      <c r="J80" s="8">
        <f t="shared" si="2"/>
        <v>360000</v>
      </c>
      <c r="K80" s="7" t="str">
        <f t="shared" si="3"/>
        <v>Low Stock</v>
      </c>
    </row>
    <row r="81" spans="1:11" x14ac:dyDescent="0.25">
      <c r="A81" s="7" t="s">
        <v>126</v>
      </c>
      <c r="B81" s="7" t="s">
        <v>41</v>
      </c>
      <c r="C81" s="7" t="s">
        <v>20</v>
      </c>
      <c r="D81" s="7" t="s">
        <v>30</v>
      </c>
      <c r="E81" s="8">
        <v>6</v>
      </c>
      <c r="F81" s="8">
        <v>10</v>
      </c>
      <c r="G81" s="8">
        <v>6</v>
      </c>
      <c r="H81" s="7" t="s">
        <v>22</v>
      </c>
      <c r="I81" s="9">
        <v>30000</v>
      </c>
      <c r="J81" s="8">
        <f t="shared" si="2"/>
        <v>180000</v>
      </c>
      <c r="K81" s="7" t="str">
        <f t="shared" si="3"/>
        <v>Low Stock</v>
      </c>
    </row>
    <row r="82" spans="1:11" x14ac:dyDescent="0.25">
      <c r="A82" s="7" t="s">
        <v>127</v>
      </c>
      <c r="B82" s="7" t="s">
        <v>55</v>
      </c>
      <c r="C82" s="7" t="s">
        <v>11</v>
      </c>
      <c r="D82" s="7" t="s">
        <v>12</v>
      </c>
      <c r="E82" s="8">
        <v>92</v>
      </c>
      <c r="F82" s="8">
        <v>35</v>
      </c>
      <c r="G82" s="8">
        <v>38</v>
      </c>
      <c r="H82" s="7" t="s">
        <v>56</v>
      </c>
      <c r="I82" s="9">
        <v>6000</v>
      </c>
      <c r="J82" s="8">
        <f t="shared" si="2"/>
        <v>552000</v>
      </c>
      <c r="K82" s="7" t="str">
        <f t="shared" si="3"/>
        <v>In Stock</v>
      </c>
    </row>
    <row r="83" spans="1:11" x14ac:dyDescent="0.25">
      <c r="A83" s="7" t="s">
        <v>128</v>
      </c>
      <c r="B83" s="7" t="s">
        <v>58</v>
      </c>
      <c r="C83" s="7" t="s">
        <v>11</v>
      </c>
      <c r="D83" s="7" t="s">
        <v>16</v>
      </c>
      <c r="E83" s="8">
        <v>155</v>
      </c>
      <c r="F83" s="8">
        <v>50</v>
      </c>
      <c r="G83" s="8">
        <v>50</v>
      </c>
      <c r="H83" s="7" t="s">
        <v>59</v>
      </c>
      <c r="I83" s="9">
        <v>3200</v>
      </c>
      <c r="J83" s="8">
        <f t="shared" si="2"/>
        <v>496000</v>
      </c>
      <c r="K83" s="7" t="str">
        <f t="shared" si="3"/>
        <v>In Stock</v>
      </c>
    </row>
    <row r="84" spans="1:11" x14ac:dyDescent="0.25">
      <c r="A84" s="7" t="s">
        <v>129</v>
      </c>
      <c r="B84" s="7" t="s">
        <v>61</v>
      </c>
      <c r="C84" s="7" t="s">
        <v>20</v>
      </c>
      <c r="D84" s="7" t="s">
        <v>21</v>
      </c>
      <c r="E84" s="8">
        <v>16</v>
      </c>
      <c r="F84" s="8">
        <v>15</v>
      </c>
      <c r="G84" s="8">
        <v>13</v>
      </c>
      <c r="H84" s="7" t="s">
        <v>45</v>
      </c>
      <c r="I84" s="9">
        <v>10000</v>
      </c>
      <c r="J84" s="8">
        <f t="shared" si="2"/>
        <v>160000</v>
      </c>
      <c r="K84" s="7" t="str">
        <f t="shared" si="3"/>
        <v>In Stock</v>
      </c>
    </row>
    <row r="85" spans="1:11" x14ac:dyDescent="0.25">
      <c r="A85" s="7" t="s">
        <v>130</v>
      </c>
      <c r="B85" s="7" t="s">
        <v>63</v>
      </c>
      <c r="C85" s="7" t="s">
        <v>25</v>
      </c>
      <c r="D85" s="7" t="s">
        <v>26</v>
      </c>
      <c r="E85" s="8">
        <v>36</v>
      </c>
      <c r="F85" s="8">
        <v>20</v>
      </c>
      <c r="G85" s="8">
        <v>11</v>
      </c>
      <c r="H85" s="7" t="s">
        <v>64</v>
      </c>
      <c r="I85" s="9">
        <v>21000</v>
      </c>
      <c r="J85" s="8">
        <f t="shared" si="2"/>
        <v>756000</v>
      </c>
      <c r="K85" s="7" t="str">
        <f t="shared" si="3"/>
        <v>In Stock</v>
      </c>
    </row>
    <row r="86" spans="1:11" x14ac:dyDescent="0.25">
      <c r="A86" s="7" t="s">
        <v>131</v>
      </c>
      <c r="B86" s="7" t="s">
        <v>66</v>
      </c>
      <c r="C86" s="7" t="s">
        <v>25</v>
      </c>
      <c r="D86" s="7" t="s">
        <v>30</v>
      </c>
      <c r="E86" s="8">
        <v>45</v>
      </c>
      <c r="F86" s="8">
        <v>20</v>
      </c>
      <c r="G86" s="8">
        <v>13</v>
      </c>
      <c r="H86" s="7" t="s">
        <v>27</v>
      </c>
      <c r="I86" s="9">
        <v>13500</v>
      </c>
      <c r="J86" s="8">
        <f t="shared" si="2"/>
        <v>607500</v>
      </c>
      <c r="K86" s="7" t="str">
        <f t="shared" si="3"/>
        <v>In Stock</v>
      </c>
    </row>
    <row r="87" spans="1:11" x14ac:dyDescent="0.25">
      <c r="A87" s="7" t="s">
        <v>132</v>
      </c>
      <c r="B87" s="7" t="s">
        <v>68</v>
      </c>
      <c r="C87" s="7" t="s">
        <v>11</v>
      </c>
      <c r="D87" s="7" t="s">
        <v>12</v>
      </c>
      <c r="E87" s="8">
        <v>65</v>
      </c>
      <c r="F87" s="8">
        <v>25</v>
      </c>
      <c r="G87" s="8">
        <v>24</v>
      </c>
      <c r="H87" s="7" t="s">
        <v>13</v>
      </c>
      <c r="I87" s="9">
        <v>21000</v>
      </c>
      <c r="J87" s="8">
        <f t="shared" si="2"/>
        <v>1365000</v>
      </c>
      <c r="K87" s="7" t="str">
        <f t="shared" si="3"/>
        <v>In Stock</v>
      </c>
    </row>
    <row r="88" spans="1:11" x14ac:dyDescent="0.25">
      <c r="A88" s="7" t="s">
        <v>133</v>
      </c>
      <c r="B88" s="7" t="s">
        <v>70</v>
      </c>
      <c r="C88" s="7" t="s">
        <v>11</v>
      </c>
      <c r="D88" s="7" t="s">
        <v>16</v>
      </c>
      <c r="E88" s="8">
        <v>100</v>
      </c>
      <c r="F88" s="8">
        <v>40</v>
      </c>
      <c r="G88" s="8">
        <v>35</v>
      </c>
      <c r="H88" s="7" t="s">
        <v>59</v>
      </c>
      <c r="I88" s="9">
        <v>4200</v>
      </c>
      <c r="J88" s="8">
        <f t="shared" si="2"/>
        <v>420000</v>
      </c>
      <c r="K88" s="7" t="str">
        <f t="shared" si="3"/>
        <v>In Stock</v>
      </c>
    </row>
    <row r="89" spans="1:11" x14ac:dyDescent="0.25">
      <c r="A89" s="7" t="s">
        <v>134</v>
      </c>
      <c r="B89" s="7" t="s">
        <v>72</v>
      </c>
      <c r="C89" s="7" t="s">
        <v>20</v>
      </c>
      <c r="D89" s="7" t="s">
        <v>21</v>
      </c>
      <c r="E89" s="8">
        <v>55</v>
      </c>
      <c r="F89" s="8">
        <v>20</v>
      </c>
      <c r="G89" s="8">
        <v>22</v>
      </c>
      <c r="H89" s="7" t="s">
        <v>22</v>
      </c>
      <c r="I89" s="9">
        <v>4800</v>
      </c>
      <c r="J89" s="8">
        <f t="shared" si="2"/>
        <v>264000</v>
      </c>
      <c r="K89" s="7" t="str">
        <f t="shared" si="3"/>
        <v>In Stock</v>
      </c>
    </row>
    <row r="90" spans="1:11" x14ac:dyDescent="0.25">
      <c r="A90" s="7" t="s">
        <v>135</v>
      </c>
      <c r="B90" s="7" t="s">
        <v>74</v>
      </c>
      <c r="C90" s="7" t="s">
        <v>25</v>
      </c>
      <c r="D90" s="7" t="s">
        <v>26</v>
      </c>
      <c r="E90" s="8">
        <v>40</v>
      </c>
      <c r="F90" s="8">
        <v>20</v>
      </c>
      <c r="G90" s="8">
        <v>12</v>
      </c>
      <c r="H90" s="7" t="s">
        <v>47</v>
      </c>
      <c r="I90" s="9">
        <v>16000</v>
      </c>
      <c r="J90" s="8">
        <f t="shared" si="2"/>
        <v>640000</v>
      </c>
      <c r="K90" s="7" t="str">
        <f t="shared" si="3"/>
        <v>In Stock</v>
      </c>
    </row>
    <row r="91" spans="1:11" x14ac:dyDescent="0.25">
      <c r="A91" s="7" t="s">
        <v>136</v>
      </c>
      <c r="B91" s="7" t="s">
        <v>76</v>
      </c>
      <c r="C91" s="7" t="s">
        <v>25</v>
      </c>
      <c r="D91" s="7" t="s">
        <v>30</v>
      </c>
      <c r="E91" s="8">
        <v>18</v>
      </c>
      <c r="F91" s="8">
        <v>15</v>
      </c>
      <c r="G91" s="8">
        <v>9</v>
      </c>
      <c r="H91" s="7" t="s">
        <v>64</v>
      </c>
      <c r="I91" s="9">
        <v>12500</v>
      </c>
      <c r="J91" s="8">
        <f t="shared" si="2"/>
        <v>225000</v>
      </c>
      <c r="K91" s="7" t="str">
        <f t="shared" si="3"/>
        <v>In Stock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Jeebraeel</dc:creator>
  <cp:lastModifiedBy>Md Jeebraeel</cp:lastModifiedBy>
  <dcterms:created xsi:type="dcterms:W3CDTF">2026-06-11T05:58:42Z</dcterms:created>
  <dcterms:modified xsi:type="dcterms:W3CDTF">2026-06-11T14:50:18Z</dcterms:modified>
</cp:coreProperties>
</file>